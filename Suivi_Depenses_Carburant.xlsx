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aisie Factures" sheetId="1" state="visible" r:id="rId1"/>
    <sheet name="Récapitulatif Mensuel" sheetId="2" state="visible" r:id="rId2"/>
    <sheet name="Récap Quinzaine" sheetId="3" state="visible" r:id="rId3"/>
  </sheets>
  <definedNames>
    <definedName name="_xlnm._FilterDatabase" localSheetId="0" hidden="1">'Saisie Factures'!$A$3:$I$203</definedName>
  </definedNames>
  <calcPr calcId="124519" fullCalcOnLoad="1"/>
</workbook>
</file>

<file path=xl/styles.xml><?xml version="1.0" encoding="utf-8"?>
<styleSheet xmlns="http://schemas.openxmlformats.org/spreadsheetml/2006/main">
  <numFmts count="5">
    <numFmt numFmtId="164" formatCode="DD/MM/YYYY"/>
    <numFmt numFmtId="165" formatCode="#,##0.00 L"/>
    <numFmt numFmtId="166" formatCode="#,##0.000 €/L"/>
    <numFmt numFmtId="167" formatCode="#,##0.00 €"/>
    <numFmt numFmtId="168" formatCode="#,##0 km"/>
  </numFmts>
  <fonts count="7">
    <font>
      <name val="Calibri"/>
      <family val="2"/>
      <color theme="1"/>
      <sz val="11"/>
      <scheme val="minor"/>
    </font>
    <font>
      <name val="Calibri"/>
      <b val="1"/>
      <color rgb="00FFFFFF"/>
      <sz val="16"/>
    </font>
    <font>
      <name val="Calibri"/>
      <b val="1"/>
      <color rgb="00FFFFFF"/>
      <sz val="11"/>
    </font>
    <font>
      <name val="Calibri"/>
      <sz val="11"/>
    </font>
    <font>
      <name val="Calibri"/>
      <b val="1"/>
      <sz val="11"/>
    </font>
    <font>
      <name val="Calibri"/>
      <b val="1"/>
      <color rgb="002F5496"/>
      <sz val="14"/>
    </font>
    <font>
      <name val="Calibri"/>
      <b val="1"/>
      <color rgb="00FFFFFF"/>
      <sz val="12"/>
    </font>
  </fonts>
  <fills count="8">
    <fill>
      <patternFill/>
    </fill>
    <fill>
      <patternFill patternType="gray125"/>
    </fill>
    <fill>
      <patternFill patternType="solid">
        <fgColor rgb="002F5496"/>
        <bgColor rgb="002F5496"/>
      </patternFill>
    </fill>
    <fill>
      <patternFill patternType="solid">
        <fgColor rgb="00F2F2F2"/>
        <bgColor rgb="00F2F2F2"/>
      </patternFill>
    </fill>
    <fill>
      <patternFill patternType="solid">
        <fgColor rgb="00ED7D31"/>
        <bgColor rgb="00ED7D31"/>
      </patternFill>
    </fill>
    <fill>
      <patternFill patternType="solid">
        <fgColor rgb="00FCE4D6"/>
        <bgColor rgb="00FCE4D6"/>
      </patternFill>
    </fill>
    <fill>
      <patternFill patternType="solid">
        <fgColor rgb="00548235"/>
        <bgColor rgb="00548235"/>
      </patternFill>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43">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164" fontId="3" fillId="3" borderId="1" applyAlignment="1" pivotButton="0" quotePrefix="0" xfId="0">
      <alignment horizontal="center" vertical="center" wrapText="1"/>
    </xf>
    <xf numFmtId="0" fontId="3" fillId="3" borderId="1" applyAlignment="1" pivotButton="0" quotePrefix="0" xfId="0">
      <alignment horizontal="center" vertical="center" wrapText="1"/>
    </xf>
    <xf numFmtId="165" fontId="3" fillId="3" borderId="1" applyAlignment="1" pivotButton="0" quotePrefix="0" xfId="0">
      <alignment horizontal="center" vertical="center" wrapText="1"/>
    </xf>
    <xf numFmtId="166" fontId="3" fillId="3" borderId="1" applyAlignment="1" pivotButton="0" quotePrefix="0" xfId="0">
      <alignment horizontal="center" vertical="center" wrapText="1"/>
    </xf>
    <xf numFmtId="167" fontId="3" fillId="3" borderId="1" applyAlignment="1" pivotButton="0" quotePrefix="0" xfId="0">
      <alignment horizontal="center" vertical="center" wrapText="1"/>
    </xf>
    <xf numFmtId="168" fontId="3" fillId="3" borderId="1" applyAlignment="1" pivotButton="0" quotePrefix="0" xfId="0">
      <alignment horizontal="center" vertical="center" wrapText="1"/>
    </xf>
    <xf numFmtId="0" fontId="3" fillId="3" borderId="1" applyAlignment="1" pivotButton="0" quotePrefix="0" xfId="0">
      <alignment horizontal="left" vertical="center"/>
    </xf>
    <xf numFmtId="164" fontId="3" fillId="0" borderId="1" applyAlignment="1" pivotButton="0" quotePrefix="0" xfId="0">
      <alignment horizontal="center" vertical="center" wrapText="1"/>
    </xf>
    <xf numFmtId="0" fontId="3" fillId="0" borderId="1" applyAlignment="1" pivotButton="0" quotePrefix="0" xfId="0">
      <alignment horizontal="center" vertical="center" wrapText="1"/>
    </xf>
    <xf numFmtId="165" fontId="3" fillId="0" borderId="1" applyAlignment="1" pivotButton="0" quotePrefix="0" xfId="0">
      <alignment horizontal="center" vertical="center" wrapText="1"/>
    </xf>
    <xf numFmtId="166" fontId="3" fillId="0" borderId="1" applyAlignment="1" pivotButton="0" quotePrefix="0" xfId="0">
      <alignment horizontal="center" vertical="center" wrapText="1"/>
    </xf>
    <xf numFmtId="167" fontId="3" fillId="0" borderId="1" applyAlignment="1" pivotButton="0" quotePrefix="0" xfId="0">
      <alignment horizontal="center" vertical="center" wrapText="1"/>
    </xf>
    <xf numFmtId="168" fontId="3" fillId="0" borderId="1" applyAlignment="1" pivotButton="0" quotePrefix="0" xfId="0">
      <alignment horizontal="center" vertical="center" wrapText="1"/>
    </xf>
    <xf numFmtId="0" fontId="3" fillId="0" borderId="1" applyAlignment="1" pivotButton="0" quotePrefix="0" xfId="0">
      <alignment horizontal="left" vertical="center"/>
    </xf>
    <xf numFmtId="0" fontId="1" fillId="4" borderId="0" applyAlignment="1" pivotButton="0" quotePrefix="0" xfId="0">
      <alignment horizontal="center" vertical="center" wrapText="1"/>
    </xf>
    <xf numFmtId="0" fontId="4" fillId="0" borderId="0" pivotButton="0" quotePrefix="0" xfId="0"/>
    <xf numFmtId="0" fontId="5" fillId="0" borderId="0" pivotButton="0" quotePrefix="0" xfId="0"/>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0" fillId="5" borderId="1" applyAlignment="1" pivotButton="0" quotePrefix="0" xfId="0">
      <alignment horizontal="center" vertical="center" wrapText="1"/>
    </xf>
    <xf numFmtId="165" fontId="0" fillId="5" borderId="1" applyAlignment="1" pivotButton="0" quotePrefix="0" xfId="0">
      <alignment horizontal="center" vertical="center" wrapText="1"/>
    </xf>
    <xf numFmtId="167" fontId="0" fillId="5" borderId="1" applyAlignment="1" pivotButton="0" quotePrefix="0" xfId="0">
      <alignment horizontal="center" vertical="center" wrapText="1"/>
    </xf>
    <xf numFmtId="166" fontId="0" fillId="5" borderId="1" applyAlignment="1" pivotButton="0" quotePrefix="0" xfId="0">
      <alignment horizontal="center" vertical="center" wrapText="1"/>
    </xf>
    <xf numFmtId="168" fontId="0"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 applyAlignment="1" pivotButton="0" quotePrefix="0" xfId="0">
      <alignment horizontal="center" vertical="center" wrapText="1"/>
    </xf>
    <xf numFmtId="165" fontId="0" fillId="0" borderId="1" applyAlignment="1" pivotButton="0" quotePrefix="0" xfId="0">
      <alignment horizontal="center" vertical="center" wrapText="1"/>
    </xf>
    <xf numFmtId="167" fontId="0" fillId="0" borderId="1" applyAlignment="1" pivotButton="0" quotePrefix="0" xfId="0">
      <alignment horizontal="center" vertical="center" wrapText="1"/>
    </xf>
    <xf numFmtId="166" fontId="0" fillId="0" borderId="1" applyAlignment="1" pivotButton="0" quotePrefix="0" xfId="0">
      <alignment horizontal="center" vertical="center" wrapText="1"/>
    </xf>
    <xf numFmtId="168" fontId="0" fillId="0" borderId="1" applyAlignment="1" pivotButton="0" quotePrefix="0" xfId="0">
      <alignment horizontal="center" vertical="center" wrapText="1"/>
    </xf>
    <xf numFmtId="165" fontId="2" fillId="4" borderId="1" applyAlignment="1" pivotButton="0" quotePrefix="0" xfId="0">
      <alignment horizontal="center" vertical="center" wrapText="1"/>
    </xf>
    <xf numFmtId="167" fontId="2" fillId="4" borderId="1" applyAlignment="1" pivotButton="0" quotePrefix="0" xfId="0">
      <alignment horizontal="center" vertical="center" wrapText="1"/>
    </xf>
    <xf numFmtId="166" fontId="2" fillId="4" borderId="1" applyAlignment="1" pivotButton="0" quotePrefix="0" xfId="0">
      <alignment horizontal="center" vertical="center" wrapText="1"/>
    </xf>
    <xf numFmtId="0" fontId="1" fillId="6" borderId="0"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0" fillId="7" borderId="1" applyAlignment="1" pivotButton="0" quotePrefix="0" xfId="0">
      <alignment horizontal="center" vertical="center" wrapText="1"/>
    </xf>
    <xf numFmtId="165" fontId="0" fillId="7" borderId="1" applyAlignment="1" pivotButton="0" quotePrefix="0" xfId="0">
      <alignment horizontal="center" vertical="center" wrapText="1"/>
    </xf>
    <xf numFmtId="167" fontId="0" fillId="7" borderId="1" applyAlignment="1" pivotButton="0" quotePrefix="0" xfId="0">
      <alignment horizontal="center" vertical="center" wrapText="1"/>
    </xf>
    <xf numFmtId="166" fontId="0"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style val="10"/>
  <chart>
    <title>
      <tx>
        <rich>
          <a:bodyPr/>
          <a:p>
            <a:pPr>
              <a:defRPr/>
            </a:pPr>
            <a:r>
              <a:t>Dépenses Mensuelles Carburant</a:t>
            </a:r>
          </a:p>
        </rich>
      </tx>
    </title>
    <plotArea>
      <barChart>
        <barDir val="col"/>
        <grouping val="clustered"/>
        <ser>
          <idx val="0"/>
          <order val="0"/>
          <tx>
            <strRef>
              <f>'Récapitulatif Mensuel'!D5</f>
            </strRef>
          </tx>
          <spPr>
            <a:solidFill>
              <a:srgbClr val="2F5496"/>
            </a:solidFill>
            <a:ln>
              <a:prstDash val="solid"/>
            </a:ln>
          </spPr>
          <cat>
            <numRef>
              <f>'Récapitulatif Mensuel'!$A$6:$A$17</f>
            </numRef>
          </cat>
          <val>
            <numRef>
              <f>'Récapitulatif Mensuel'!$D$6:$D$17</f>
            </numRef>
          </val>
        </ser>
        <ser>
          <idx val="1"/>
          <order val="1"/>
          <tx>
            <strRef>
              <f>'Récapitulatif Mensuel'!E5</f>
            </strRef>
          </tx>
          <spPr>
            <a:solidFill>
              <a:srgbClr val="ED7D31"/>
            </a:solidFill>
            <a:ln>
              <a:prstDash val="solid"/>
            </a:ln>
          </spPr>
          <cat>
            <numRef>
              <f>'Récapitulatif Mensuel'!$A$6:$A$17</f>
            </numRef>
          </cat>
          <val>
            <numRef>
              <f>'Récapitulatif Mensuel'!$E$6:$E$17</f>
            </numRef>
          </val>
        </ser>
        <gapWidth val="150"/>
        <axId val="10"/>
        <axId val="100"/>
      </barChart>
      <catAx>
        <axId val="10"/>
        <scaling>
          <orientation val="minMax"/>
        </scaling>
        <axPos val="l"/>
        <title>
          <tx>
            <rich>
              <a:bodyPr/>
              <a:p>
                <a:pPr>
                  <a:defRPr/>
                </a:pPr>
                <a:r>
                  <a:t>Mois</a:t>
                </a:r>
              </a:p>
            </rich>
          </tx>
        </title>
        <majorTickMark val="none"/>
        <minorTickMark val="none"/>
        <crossAx val="100"/>
        <lblOffset val="100"/>
      </catAx>
      <valAx>
        <axId val="100"/>
        <scaling>
          <orientation val="minMax"/>
        </scaling>
        <axPos val="l"/>
        <majorGridlines/>
        <title>
          <tx>
            <rich>
              <a:bodyPr/>
              <a:p>
                <a:pPr>
                  <a:defRPr/>
                </a:pPr>
                <a:r>
                  <a:t>Montant (€)</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19</row>
      <rowOff>0</rowOff>
    </from>
    <ext cx="10080000" cy="54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2F5496"/>
    <outlinePr summaryBelow="1" summaryRight="1"/>
    <pageSetUpPr/>
  </sheetPr>
  <dimension ref="A1:I203"/>
  <sheetViews>
    <sheetView workbookViewId="0">
      <pane ySplit="3" topLeftCell="A4" activePane="bottomLeft" state="frozen"/>
      <selection pane="bottomLeft" activeCell="A1" sqref="A1"/>
    </sheetView>
  </sheetViews>
  <sheetFormatPr baseColWidth="8" defaultRowHeight="15"/>
  <cols>
    <col width="14" customWidth="1" min="1" max="1"/>
    <col width="14" customWidth="1" min="2" max="2"/>
    <col width="14" customWidth="1" min="3" max="3"/>
    <col width="18" customWidth="1" min="4" max="4"/>
    <col width="14" customWidth="1" min="5" max="5"/>
    <col width="16" customWidth="1" min="6" max="6"/>
    <col width="18" customWidth="1" min="7" max="7"/>
    <col width="16" customWidth="1" min="8" max="8"/>
    <col width="25" customWidth="1" min="9" max="9"/>
  </cols>
  <sheetData>
    <row r="1" ht="40" customHeight="1">
      <c r="A1" s="1" t="inlineStr">
        <is>
          <t>⛽ SUIVI DES DÉPENSES CARBURANT</t>
        </is>
      </c>
    </row>
    <row r="3">
      <c r="A3" s="2" t="inlineStr">
        <is>
          <t>Date</t>
        </is>
      </c>
      <c r="B3" s="2" t="inlineStr">
        <is>
          <t>Quinzaine</t>
        </is>
      </c>
      <c r="C3" s="2" t="inlineStr">
        <is>
          <t>Mois</t>
        </is>
      </c>
      <c r="D3" s="2" t="inlineStr">
        <is>
          <t>Type Carburant</t>
        </is>
      </c>
      <c r="E3" s="2" t="inlineStr">
        <is>
          <t>Litres</t>
        </is>
      </c>
      <c r="F3" s="2" t="inlineStr">
        <is>
          <t>Prix/Litre (€)</t>
        </is>
      </c>
      <c r="G3" s="2" t="inlineStr">
        <is>
          <t>Montant Total (€)</t>
        </is>
      </c>
      <c r="H3" s="2" t="inlineStr">
        <is>
          <t>Kilométrage</t>
        </is>
      </c>
      <c r="I3" s="2" t="inlineStr">
        <is>
          <t>Notes</t>
        </is>
      </c>
    </row>
    <row r="4">
      <c r="A4" s="3" t="n"/>
      <c r="B4" s="4" t="n"/>
      <c r="C4" s="4">
        <f>IF(A4="","",TEXT(A4,"MMMM YYYY"))</f>
        <v/>
      </c>
      <c r="D4" s="4" t="n"/>
      <c r="E4" s="5" t="n"/>
      <c r="F4" s="6" t="n"/>
      <c r="G4" s="7">
        <f>IF(AND(E4&lt;&gt;"",F4&lt;&gt;""),E4*F4,"")</f>
        <v/>
      </c>
      <c r="H4" s="8" t="n"/>
      <c r="I4" s="9" t="n"/>
    </row>
    <row r="5">
      <c r="A5" s="10" t="n"/>
      <c r="B5" s="11" t="n"/>
      <c r="C5" s="11">
        <f>IF(A5="","",TEXT(A5,"MMMM YYYY"))</f>
        <v/>
      </c>
      <c r="D5" s="11" t="n"/>
      <c r="E5" s="12" t="n"/>
      <c r="F5" s="13" t="n"/>
      <c r="G5" s="14">
        <f>IF(AND(E5&lt;&gt;"",F5&lt;&gt;""),E5*F5,"")</f>
        <v/>
      </c>
      <c r="H5" s="15" t="n"/>
      <c r="I5" s="16" t="n"/>
    </row>
    <row r="6">
      <c r="A6" s="3" t="n"/>
      <c r="B6" s="4" t="n"/>
      <c r="C6" s="4">
        <f>IF(A6="","",TEXT(A6,"MMMM YYYY"))</f>
        <v/>
      </c>
      <c r="D6" s="4" t="n"/>
      <c r="E6" s="5" t="n"/>
      <c r="F6" s="6" t="n"/>
      <c r="G6" s="7">
        <f>IF(AND(E6&lt;&gt;"",F6&lt;&gt;""),E6*F6,"")</f>
        <v/>
      </c>
      <c r="H6" s="8" t="n"/>
      <c r="I6" s="9" t="n"/>
    </row>
    <row r="7">
      <c r="A7" s="10" t="n"/>
      <c r="B7" s="11" t="n"/>
      <c r="C7" s="11">
        <f>IF(A7="","",TEXT(A7,"MMMM YYYY"))</f>
        <v/>
      </c>
      <c r="D7" s="11" t="n"/>
      <c r="E7" s="12" t="n"/>
      <c r="F7" s="13" t="n"/>
      <c r="G7" s="14">
        <f>IF(AND(E7&lt;&gt;"",F7&lt;&gt;""),E7*F7,"")</f>
        <v/>
      </c>
      <c r="H7" s="15" t="n"/>
      <c r="I7" s="16" t="n"/>
    </row>
    <row r="8">
      <c r="A8" s="3" t="n"/>
      <c r="B8" s="4" t="n"/>
      <c r="C8" s="4">
        <f>IF(A8="","",TEXT(A8,"MMMM YYYY"))</f>
        <v/>
      </c>
      <c r="D8" s="4" t="n"/>
      <c r="E8" s="5" t="n"/>
      <c r="F8" s="6" t="n"/>
      <c r="G8" s="7">
        <f>IF(AND(E8&lt;&gt;"",F8&lt;&gt;""),E8*F8,"")</f>
        <v/>
      </c>
      <c r="H8" s="8" t="n"/>
      <c r="I8" s="9" t="n"/>
    </row>
    <row r="9">
      <c r="A9" s="10" t="n"/>
      <c r="B9" s="11" t="n"/>
      <c r="C9" s="11">
        <f>IF(A9="","",TEXT(A9,"MMMM YYYY"))</f>
        <v/>
      </c>
      <c r="D9" s="11" t="n"/>
      <c r="E9" s="12" t="n"/>
      <c r="F9" s="13" t="n"/>
      <c r="G9" s="14">
        <f>IF(AND(E9&lt;&gt;"",F9&lt;&gt;""),E9*F9,"")</f>
        <v/>
      </c>
      <c r="H9" s="15" t="n"/>
      <c r="I9" s="16" t="n"/>
    </row>
    <row r="10">
      <c r="A10" s="3" t="n"/>
      <c r="B10" s="4" t="n"/>
      <c r="C10" s="4">
        <f>IF(A10="","",TEXT(A10,"MMMM YYYY"))</f>
        <v/>
      </c>
      <c r="D10" s="4" t="n"/>
      <c r="E10" s="5" t="n"/>
      <c r="F10" s="6" t="n"/>
      <c r="G10" s="7">
        <f>IF(AND(E10&lt;&gt;"",F10&lt;&gt;""),E10*F10,"")</f>
        <v/>
      </c>
      <c r="H10" s="8" t="n"/>
      <c r="I10" s="9" t="n"/>
    </row>
    <row r="11">
      <c r="A11" s="10" t="n"/>
      <c r="B11" s="11" t="n"/>
      <c r="C11" s="11">
        <f>IF(A11="","",TEXT(A11,"MMMM YYYY"))</f>
        <v/>
      </c>
      <c r="D11" s="11" t="n"/>
      <c r="E11" s="12" t="n"/>
      <c r="F11" s="13" t="n"/>
      <c r="G11" s="14">
        <f>IF(AND(E11&lt;&gt;"",F11&lt;&gt;""),E11*F11,"")</f>
        <v/>
      </c>
      <c r="H11" s="15" t="n"/>
      <c r="I11" s="16" t="n"/>
    </row>
    <row r="12">
      <c r="A12" s="3" t="n"/>
      <c r="B12" s="4" t="n"/>
      <c r="C12" s="4">
        <f>IF(A12="","",TEXT(A12,"MMMM YYYY"))</f>
        <v/>
      </c>
      <c r="D12" s="4" t="n"/>
      <c r="E12" s="5" t="n"/>
      <c r="F12" s="6" t="n"/>
      <c r="G12" s="7">
        <f>IF(AND(E12&lt;&gt;"",F12&lt;&gt;""),E12*F12,"")</f>
        <v/>
      </c>
      <c r="H12" s="8" t="n"/>
      <c r="I12" s="9" t="n"/>
    </row>
    <row r="13">
      <c r="A13" s="10" t="n"/>
      <c r="B13" s="11" t="n"/>
      <c r="C13" s="11">
        <f>IF(A13="","",TEXT(A13,"MMMM YYYY"))</f>
        <v/>
      </c>
      <c r="D13" s="11" t="n"/>
      <c r="E13" s="12" t="n"/>
      <c r="F13" s="13" t="n"/>
      <c r="G13" s="14">
        <f>IF(AND(E13&lt;&gt;"",F13&lt;&gt;""),E13*F13,"")</f>
        <v/>
      </c>
      <c r="H13" s="15" t="n"/>
      <c r="I13" s="16" t="n"/>
    </row>
    <row r="14">
      <c r="A14" s="3" t="n"/>
      <c r="B14" s="4" t="n"/>
      <c r="C14" s="4">
        <f>IF(A14="","",TEXT(A14,"MMMM YYYY"))</f>
        <v/>
      </c>
      <c r="D14" s="4" t="n"/>
      <c r="E14" s="5" t="n"/>
      <c r="F14" s="6" t="n"/>
      <c r="G14" s="7">
        <f>IF(AND(E14&lt;&gt;"",F14&lt;&gt;""),E14*F14,"")</f>
        <v/>
      </c>
      <c r="H14" s="8" t="n"/>
      <c r="I14" s="9" t="n"/>
    </row>
    <row r="15">
      <c r="A15" s="10" t="n"/>
      <c r="B15" s="11" t="n"/>
      <c r="C15" s="11">
        <f>IF(A15="","",TEXT(A15,"MMMM YYYY"))</f>
        <v/>
      </c>
      <c r="D15" s="11" t="n"/>
      <c r="E15" s="12" t="n"/>
      <c r="F15" s="13" t="n"/>
      <c r="G15" s="14">
        <f>IF(AND(E15&lt;&gt;"",F15&lt;&gt;""),E15*F15,"")</f>
        <v/>
      </c>
      <c r="H15" s="15" t="n"/>
      <c r="I15" s="16" t="n"/>
    </row>
    <row r="16">
      <c r="A16" s="3" t="n"/>
      <c r="B16" s="4" t="n"/>
      <c r="C16" s="4">
        <f>IF(A16="","",TEXT(A16,"MMMM YYYY"))</f>
        <v/>
      </c>
      <c r="D16" s="4" t="n"/>
      <c r="E16" s="5" t="n"/>
      <c r="F16" s="6" t="n"/>
      <c r="G16" s="7">
        <f>IF(AND(E16&lt;&gt;"",F16&lt;&gt;""),E16*F16,"")</f>
        <v/>
      </c>
      <c r="H16" s="8" t="n"/>
      <c r="I16" s="9" t="n"/>
    </row>
    <row r="17">
      <c r="A17" s="10" t="n"/>
      <c r="B17" s="11" t="n"/>
      <c r="C17" s="11">
        <f>IF(A17="","",TEXT(A17,"MMMM YYYY"))</f>
        <v/>
      </c>
      <c r="D17" s="11" t="n"/>
      <c r="E17" s="12" t="n"/>
      <c r="F17" s="13" t="n"/>
      <c r="G17" s="14">
        <f>IF(AND(E17&lt;&gt;"",F17&lt;&gt;""),E17*F17,"")</f>
        <v/>
      </c>
      <c r="H17" s="15" t="n"/>
      <c r="I17" s="16" t="n"/>
    </row>
    <row r="18">
      <c r="A18" s="3" t="n"/>
      <c r="B18" s="4" t="n"/>
      <c r="C18" s="4">
        <f>IF(A18="","",TEXT(A18,"MMMM YYYY"))</f>
        <v/>
      </c>
      <c r="D18" s="4" t="n"/>
      <c r="E18" s="5" t="n"/>
      <c r="F18" s="6" t="n"/>
      <c r="G18" s="7">
        <f>IF(AND(E18&lt;&gt;"",F18&lt;&gt;""),E18*F18,"")</f>
        <v/>
      </c>
      <c r="H18" s="8" t="n"/>
      <c r="I18" s="9" t="n"/>
    </row>
    <row r="19">
      <c r="A19" s="10" t="n"/>
      <c r="B19" s="11" t="n"/>
      <c r="C19" s="11">
        <f>IF(A19="","",TEXT(A19,"MMMM YYYY"))</f>
        <v/>
      </c>
      <c r="D19" s="11" t="n"/>
      <c r="E19" s="12" t="n"/>
      <c r="F19" s="13" t="n"/>
      <c r="G19" s="14">
        <f>IF(AND(E19&lt;&gt;"",F19&lt;&gt;""),E19*F19,"")</f>
        <v/>
      </c>
      <c r="H19" s="15" t="n"/>
      <c r="I19" s="16" t="n"/>
    </row>
    <row r="20">
      <c r="A20" s="3" t="n"/>
      <c r="B20" s="4" t="n"/>
      <c r="C20" s="4">
        <f>IF(A20="","",TEXT(A20,"MMMM YYYY"))</f>
        <v/>
      </c>
      <c r="D20" s="4" t="n"/>
      <c r="E20" s="5" t="n"/>
      <c r="F20" s="6" t="n"/>
      <c r="G20" s="7">
        <f>IF(AND(E20&lt;&gt;"",F20&lt;&gt;""),E20*F20,"")</f>
        <v/>
      </c>
      <c r="H20" s="8" t="n"/>
      <c r="I20" s="9" t="n"/>
    </row>
    <row r="21">
      <c r="A21" s="10" t="n"/>
      <c r="B21" s="11" t="n"/>
      <c r="C21" s="11">
        <f>IF(A21="","",TEXT(A21,"MMMM YYYY"))</f>
        <v/>
      </c>
      <c r="D21" s="11" t="n"/>
      <c r="E21" s="12" t="n"/>
      <c r="F21" s="13" t="n"/>
      <c r="G21" s="14">
        <f>IF(AND(E21&lt;&gt;"",F21&lt;&gt;""),E21*F21,"")</f>
        <v/>
      </c>
      <c r="H21" s="15" t="n"/>
      <c r="I21" s="16" t="n"/>
    </row>
    <row r="22">
      <c r="A22" s="3" t="n"/>
      <c r="B22" s="4" t="n"/>
      <c r="C22" s="4">
        <f>IF(A22="","",TEXT(A22,"MMMM YYYY"))</f>
        <v/>
      </c>
      <c r="D22" s="4" t="n"/>
      <c r="E22" s="5" t="n"/>
      <c r="F22" s="6" t="n"/>
      <c r="G22" s="7">
        <f>IF(AND(E22&lt;&gt;"",F22&lt;&gt;""),E22*F22,"")</f>
        <v/>
      </c>
      <c r="H22" s="8" t="n"/>
      <c r="I22" s="9" t="n"/>
    </row>
    <row r="23">
      <c r="A23" s="10" t="n"/>
      <c r="B23" s="11" t="n"/>
      <c r="C23" s="11">
        <f>IF(A23="","",TEXT(A23,"MMMM YYYY"))</f>
        <v/>
      </c>
      <c r="D23" s="11" t="n"/>
      <c r="E23" s="12" t="n"/>
      <c r="F23" s="13" t="n"/>
      <c r="G23" s="14">
        <f>IF(AND(E23&lt;&gt;"",F23&lt;&gt;""),E23*F23,"")</f>
        <v/>
      </c>
      <c r="H23" s="15" t="n"/>
      <c r="I23" s="16" t="n"/>
    </row>
    <row r="24">
      <c r="A24" s="3" t="n"/>
      <c r="B24" s="4" t="n"/>
      <c r="C24" s="4">
        <f>IF(A24="","",TEXT(A24,"MMMM YYYY"))</f>
        <v/>
      </c>
      <c r="D24" s="4" t="n"/>
      <c r="E24" s="5" t="n"/>
      <c r="F24" s="6" t="n"/>
      <c r="G24" s="7">
        <f>IF(AND(E24&lt;&gt;"",F24&lt;&gt;""),E24*F24,"")</f>
        <v/>
      </c>
      <c r="H24" s="8" t="n"/>
      <c r="I24" s="9" t="n"/>
    </row>
    <row r="25">
      <c r="A25" s="10" t="n"/>
      <c r="B25" s="11" t="n"/>
      <c r="C25" s="11">
        <f>IF(A25="","",TEXT(A25,"MMMM YYYY"))</f>
        <v/>
      </c>
      <c r="D25" s="11" t="n"/>
      <c r="E25" s="12" t="n"/>
      <c r="F25" s="13" t="n"/>
      <c r="G25" s="14">
        <f>IF(AND(E25&lt;&gt;"",F25&lt;&gt;""),E25*F25,"")</f>
        <v/>
      </c>
      <c r="H25" s="15" t="n"/>
      <c r="I25" s="16" t="n"/>
    </row>
    <row r="26">
      <c r="A26" s="3" t="n"/>
      <c r="B26" s="4" t="n"/>
      <c r="C26" s="4">
        <f>IF(A26="","",TEXT(A26,"MMMM YYYY"))</f>
        <v/>
      </c>
      <c r="D26" s="4" t="n"/>
      <c r="E26" s="5" t="n"/>
      <c r="F26" s="6" t="n"/>
      <c r="G26" s="7">
        <f>IF(AND(E26&lt;&gt;"",F26&lt;&gt;""),E26*F26,"")</f>
        <v/>
      </c>
      <c r="H26" s="8" t="n"/>
      <c r="I26" s="9" t="n"/>
    </row>
    <row r="27">
      <c r="A27" s="10" t="n"/>
      <c r="B27" s="11" t="n"/>
      <c r="C27" s="11">
        <f>IF(A27="","",TEXT(A27,"MMMM YYYY"))</f>
        <v/>
      </c>
      <c r="D27" s="11" t="n"/>
      <c r="E27" s="12" t="n"/>
      <c r="F27" s="13" t="n"/>
      <c r="G27" s="14">
        <f>IF(AND(E27&lt;&gt;"",F27&lt;&gt;""),E27*F27,"")</f>
        <v/>
      </c>
      <c r="H27" s="15" t="n"/>
      <c r="I27" s="16" t="n"/>
    </row>
    <row r="28">
      <c r="A28" s="3" t="n"/>
      <c r="B28" s="4" t="n"/>
      <c r="C28" s="4">
        <f>IF(A28="","",TEXT(A28,"MMMM YYYY"))</f>
        <v/>
      </c>
      <c r="D28" s="4" t="n"/>
      <c r="E28" s="5" t="n"/>
      <c r="F28" s="6" t="n"/>
      <c r="G28" s="7">
        <f>IF(AND(E28&lt;&gt;"",F28&lt;&gt;""),E28*F28,"")</f>
        <v/>
      </c>
      <c r="H28" s="8" t="n"/>
      <c r="I28" s="9" t="n"/>
    </row>
    <row r="29">
      <c r="A29" s="10" t="n"/>
      <c r="B29" s="11" t="n"/>
      <c r="C29" s="11">
        <f>IF(A29="","",TEXT(A29,"MMMM YYYY"))</f>
        <v/>
      </c>
      <c r="D29" s="11" t="n"/>
      <c r="E29" s="12" t="n"/>
      <c r="F29" s="13" t="n"/>
      <c r="G29" s="14">
        <f>IF(AND(E29&lt;&gt;"",F29&lt;&gt;""),E29*F29,"")</f>
        <v/>
      </c>
      <c r="H29" s="15" t="n"/>
      <c r="I29" s="16" t="n"/>
    </row>
    <row r="30">
      <c r="A30" s="3" t="n"/>
      <c r="B30" s="4" t="n"/>
      <c r="C30" s="4">
        <f>IF(A30="","",TEXT(A30,"MMMM YYYY"))</f>
        <v/>
      </c>
      <c r="D30" s="4" t="n"/>
      <c r="E30" s="5" t="n"/>
      <c r="F30" s="6" t="n"/>
      <c r="G30" s="7">
        <f>IF(AND(E30&lt;&gt;"",F30&lt;&gt;""),E30*F30,"")</f>
        <v/>
      </c>
      <c r="H30" s="8" t="n"/>
      <c r="I30" s="9" t="n"/>
    </row>
    <row r="31">
      <c r="A31" s="10" t="n"/>
      <c r="B31" s="11" t="n"/>
      <c r="C31" s="11">
        <f>IF(A31="","",TEXT(A31,"MMMM YYYY"))</f>
        <v/>
      </c>
      <c r="D31" s="11" t="n"/>
      <c r="E31" s="12" t="n"/>
      <c r="F31" s="13" t="n"/>
      <c r="G31" s="14">
        <f>IF(AND(E31&lt;&gt;"",F31&lt;&gt;""),E31*F31,"")</f>
        <v/>
      </c>
      <c r="H31" s="15" t="n"/>
      <c r="I31" s="16" t="n"/>
    </row>
    <row r="32">
      <c r="A32" s="3" t="n"/>
      <c r="B32" s="4" t="n"/>
      <c r="C32" s="4">
        <f>IF(A32="","",TEXT(A32,"MMMM YYYY"))</f>
        <v/>
      </c>
      <c r="D32" s="4" t="n"/>
      <c r="E32" s="5" t="n"/>
      <c r="F32" s="6" t="n"/>
      <c r="G32" s="7">
        <f>IF(AND(E32&lt;&gt;"",F32&lt;&gt;""),E32*F32,"")</f>
        <v/>
      </c>
      <c r="H32" s="8" t="n"/>
      <c r="I32" s="9" t="n"/>
    </row>
    <row r="33">
      <c r="A33" s="10" t="n"/>
      <c r="B33" s="11" t="n"/>
      <c r="C33" s="11">
        <f>IF(A33="","",TEXT(A33,"MMMM YYYY"))</f>
        <v/>
      </c>
      <c r="D33" s="11" t="n"/>
      <c r="E33" s="12" t="n"/>
      <c r="F33" s="13" t="n"/>
      <c r="G33" s="14">
        <f>IF(AND(E33&lt;&gt;"",F33&lt;&gt;""),E33*F33,"")</f>
        <v/>
      </c>
      <c r="H33" s="15" t="n"/>
      <c r="I33" s="16" t="n"/>
    </row>
    <row r="34">
      <c r="A34" s="3" t="n"/>
      <c r="B34" s="4" t="n"/>
      <c r="C34" s="4">
        <f>IF(A34="","",TEXT(A34,"MMMM YYYY"))</f>
        <v/>
      </c>
      <c r="D34" s="4" t="n"/>
      <c r="E34" s="5" t="n"/>
      <c r="F34" s="6" t="n"/>
      <c r="G34" s="7">
        <f>IF(AND(E34&lt;&gt;"",F34&lt;&gt;""),E34*F34,"")</f>
        <v/>
      </c>
      <c r="H34" s="8" t="n"/>
      <c r="I34" s="9" t="n"/>
    </row>
    <row r="35">
      <c r="A35" s="10" t="n"/>
      <c r="B35" s="11" t="n"/>
      <c r="C35" s="11">
        <f>IF(A35="","",TEXT(A35,"MMMM YYYY"))</f>
        <v/>
      </c>
      <c r="D35" s="11" t="n"/>
      <c r="E35" s="12" t="n"/>
      <c r="F35" s="13" t="n"/>
      <c r="G35" s="14">
        <f>IF(AND(E35&lt;&gt;"",F35&lt;&gt;""),E35*F35,"")</f>
        <v/>
      </c>
      <c r="H35" s="15" t="n"/>
      <c r="I35" s="16" t="n"/>
    </row>
    <row r="36">
      <c r="A36" s="3" t="n"/>
      <c r="B36" s="4" t="n"/>
      <c r="C36" s="4">
        <f>IF(A36="","",TEXT(A36,"MMMM YYYY"))</f>
        <v/>
      </c>
      <c r="D36" s="4" t="n"/>
      <c r="E36" s="5" t="n"/>
      <c r="F36" s="6" t="n"/>
      <c r="G36" s="7">
        <f>IF(AND(E36&lt;&gt;"",F36&lt;&gt;""),E36*F36,"")</f>
        <v/>
      </c>
      <c r="H36" s="8" t="n"/>
      <c r="I36" s="9" t="n"/>
    </row>
    <row r="37">
      <c r="A37" s="10" t="n"/>
      <c r="B37" s="11" t="n"/>
      <c r="C37" s="11">
        <f>IF(A37="","",TEXT(A37,"MMMM YYYY"))</f>
        <v/>
      </c>
      <c r="D37" s="11" t="n"/>
      <c r="E37" s="12" t="n"/>
      <c r="F37" s="13" t="n"/>
      <c r="G37" s="14">
        <f>IF(AND(E37&lt;&gt;"",F37&lt;&gt;""),E37*F37,"")</f>
        <v/>
      </c>
      <c r="H37" s="15" t="n"/>
      <c r="I37" s="16" t="n"/>
    </row>
    <row r="38">
      <c r="A38" s="3" t="n"/>
      <c r="B38" s="4" t="n"/>
      <c r="C38" s="4">
        <f>IF(A38="","",TEXT(A38,"MMMM YYYY"))</f>
        <v/>
      </c>
      <c r="D38" s="4" t="n"/>
      <c r="E38" s="5" t="n"/>
      <c r="F38" s="6" t="n"/>
      <c r="G38" s="7">
        <f>IF(AND(E38&lt;&gt;"",F38&lt;&gt;""),E38*F38,"")</f>
        <v/>
      </c>
      <c r="H38" s="8" t="n"/>
      <c r="I38" s="9" t="n"/>
    </row>
    <row r="39">
      <c r="A39" s="10" t="n"/>
      <c r="B39" s="11" t="n"/>
      <c r="C39" s="11">
        <f>IF(A39="","",TEXT(A39,"MMMM YYYY"))</f>
        <v/>
      </c>
      <c r="D39" s="11" t="n"/>
      <c r="E39" s="12" t="n"/>
      <c r="F39" s="13" t="n"/>
      <c r="G39" s="14">
        <f>IF(AND(E39&lt;&gt;"",F39&lt;&gt;""),E39*F39,"")</f>
        <v/>
      </c>
      <c r="H39" s="15" t="n"/>
      <c r="I39" s="16" t="n"/>
    </row>
    <row r="40">
      <c r="A40" s="3" t="n"/>
      <c r="B40" s="4" t="n"/>
      <c r="C40" s="4">
        <f>IF(A40="","",TEXT(A40,"MMMM YYYY"))</f>
        <v/>
      </c>
      <c r="D40" s="4" t="n"/>
      <c r="E40" s="5" t="n"/>
      <c r="F40" s="6" t="n"/>
      <c r="G40" s="7">
        <f>IF(AND(E40&lt;&gt;"",F40&lt;&gt;""),E40*F40,"")</f>
        <v/>
      </c>
      <c r="H40" s="8" t="n"/>
      <c r="I40" s="9" t="n"/>
    </row>
    <row r="41">
      <c r="A41" s="10" t="n"/>
      <c r="B41" s="11" t="n"/>
      <c r="C41" s="11">
        <f>IF(A41="","",TEXT(A41,"MMMM YYYY"))</f>
        <v/>
      </c>
      <c r="D41" s="11" t="n"/>
      <c r="E41" s="12" t="n"/>
      <c r="F41" s="13" t="n"/>
      <c r="G41" s="14">
        <f>IF(AND(E41&lt;&gt;"",F41&lt;&gt;""),E41*F41,"")</f>
        <v/>
      </c>
      <c r="H41" s="15" t="n"/>
      <c r="I41" s="16" t="n"/>
    </row>
    <row r="42">
      <c r="A42" s="3" t="n"/>
      <c r="B42" s="4" t="n"/>
      <c r="C42" s="4">
        <f>IF(A42="","",TEXT(A42,"MMMM YYYY"))</f>
        <v/>
      </c>
      <c r="D42" s="4" t="n"/>
      <c r="E42" s="5" t="n"/>
      <c r="F42" s="6" t="n"/>
      <c r="G42" s="7">
        <f>IF(AND(E42&lt;&gt;"",F42&lt;&gt;""),E42*F42,"")</f>
        <v/>
      </c>
      <c r="H42" s="8" t="n"/>
      <c r="I42" s="9" t="n"/>
    </row>
    <row r="43">
      <c r="A43" s="10" t="n"/>
      <c r="B43" s="11" t="n"/>
      <c r="C43" s="11">
        <f>IF(A43="","",TEXT(A43,"MMMM YYYY"))</f>
        <v/>
      </c>
      <c r="D43" s="11" t="n"/>
      <c r="E43" s="12" t="n"/>
      <c r="F43" s="13" t="n"/>
      <c r="G43" s="14">
        <f>IF(AND(E43&lt;&gt;"",F43&lt;&gt;""),E43*F43,"")</f>
        <v/>
      </c>
      <c r="H43" s="15" t="n"/>
      <c r="I43" s="16" t="n"/>
    </row>
    <row r="44">
      <c r="A44" s="3" t="n"/>
      <c r="B44" s="4" t="n"/>
      <c r="C44" s="4">
        <f>IF(A44="","",TEXT(A44,"MMMM YYYY"))</f>
        <v/>
      </c>
      <c r="D44" s="4" t="n"/>
      <c r="E44" s="5" t="n"/>
      <c r="F44" s="6" t="n"/>
      <c r="G44" s="7">
        <f>IF(AND(E44&lt;&gt;"",F44&lt;&gt;""),E44*F44,"")</f>
        <v/>
      </c>
      <c r="H44" s="8" t="n"/>
      <c r="I44" s="9" t="n"/>
    </row>
    <row r="45">
      <c r="A45" s="10" t="n"/>
      <c r="B45" s="11" t="n"/>
      <c r="C45" s="11">
        <f>IF(A45="","",TEXT(A45,"MMMM YYYY"))</f>
        <v/>
      </c>
      <c r="D45" s="11" t="n"/>
      <c r="E45" s="12" t="n"/>
      <c r="F45" s="13" t="n"/>
      <c r="G45" s="14">
        <f>IF(AND(E45&lt;&gt;"",F45&lt;&gt;""),E45*F45,"")</f>
        <v/>
      </c>
      <c r="H45" s="15" t="n"/>
      <c r="I45" s="16" t="n"/>
    </row>
    <row r="46">
      <c r="A46" s="3" t="n"/>
      <c r="B46" s="4" t="n"/>
      <c r="C46" s="4">
        <f>IF(A46="","",TEXT(A46,"MMMM YYYY"))</f>
        <v/>
      </c>
      <c r="D46" s="4" t="n"/>
      <c r="E46" s="5" t="n"/>
      <c r="F46" s="6" t="n"/>
      <c r="G46" s="7">
        <f>IF(AND(E46&lt;&gt;"",F46&lt;&gt;""),E46*F46,"")</f>
        <v/>
      </c>
      <c r="H46" s="8" t="n"/>
      <c r="I46" s="9" t="n"/>
    </row>
    <row r="47">
      <c r="A47" s="10" t="n"/>
      <c r="B47" s="11" t="n"/>
      <c r="C47" s="11">
        <f>IF(A47="","",TEXT(A47,"MMMM YYYY"))</f>
        <v/>
      </c>
      <c r="D47" s="11" t="n"/>
      <c r="E47" s="12" t="n"/>
      <c r="F47" s="13" t="n"/>
      <c r="G47" s="14">
        <f>IF(AND(E47&lt;&gt;"",F47&lt;&gt;""),E47*F47,"")</f>
        <v/>
      </c>
      <c r="H47" s="15" t="n"/>
      <c r="I47" s="16" t="n"/>
    </row>
    <row r="48">
      <c r="A48" s="3" t="n"/>
      <c r="B48" s="4" t="n"/>
      <c r="C48" s="4">
        <f>IF(A48="","",TEXT(A48,"MMMM YYYY"))</f>
        <v/>
      </c>
      <c r="D48" s="4" t="n"/>
      <c r="E48" s="5" t="n"/>
      <c r="F48" s="6" t="n"/>
      <c r="G48" s="7">
        <f>IF(AND(E48&lt;&gt;"",F48&lt;&gt;""),E48*F48,"")</f>
        <v/>
      </c>
      <c r="H48" s="8" t="n"/>
      <c r="I48" s="9" t="n"/>
    </row>
    <row r="49">
      <c r="A49" s="10" t="n"/>
      <c r="B49" s="11" t="n"/>
      <c r="C49" s="11">
        <f>IF(A49="","",TEXT(A49,"MMMM YYYY"))</f>
        <v/>
      </c>
      <c r="D49" s="11" t="n"/>
      <c r="E49" s="12" t="n"/>
      <c r="F49" s="13" t="n"/>
      <c r="G49" s="14">
        <f>IF(AND(E49&lt;&gt;"",F49&lt;&gt;""),E49*F49,"")</f>
        <v/>
      </c>
      <c r="H49" s="15" t="n"/>
      <c r="I49" s="16" t="n"/>
    </row>
    <row r="50">
      <c r="A50" s="3" t="n"/>
      <c r="B50" s="4" t="n"/>
      <c r="C50" s="4">
        <f>IF(A50="","",TEXT(A50,"MMMM YYYY"))</f>
        <v/>
      </c>
      <c r="D50" s="4" t="n"/>
      <c r="E50" s="5" t="n"/>
      <c r="F50" s="6" t="n"/>
      <c r="G50" s="7">
        <f>IF(AND(E50&lt;&gt;"",F50&lt;&gt;""),E50*F50,"")</f>
        <v/>
      </c>
      <c r="H50" s="8" t="n"/>
      <c r="I50" s="9" t="n"/>
    </row>
    <row r="51">
      <c r="A51" s="10" t="n"/>
      <c r="B51" s="11" t="n"/>
      <c r="C51" s="11">
        <f>IF(A51="","",TEXT(A51,"MMMM YYYY"))</f>
        <v/>
      </c>
      <c r="D51" s="11" t="n"/>
      <c r="E51" s="12" t="n"/>
      <c r="F51" s="13" t="n"/>
      <c r="G51" s="14">
        <f>IF(AND(E51&lt;&gt;"",F51&lt;&gt;""),E51*F51,"")</f>
        <v/>
      </c>
      <c r="H51" s="15" t="n"/>
      <c r="I51" s="16" t="n"/>
    </row>
    <row r="52">
      <c r="A52" s="3" t="n"/>
      <c r="B52" s="4" t="n"/>
      <c r="C52" s="4">
        <f>IF(A52="","",TEXT(A52,"MMMM YYYY"))</f>
        <v/>
      </c>
      <c r="D52" s="4" t="n"/>
      <c r="E52" s="5" t="n"/>
      <c r="F52" s="6" t="n"/>
      <c r="G52" s="7">
        <f>IF(AND(E52&lt;&gt;"",F52&lt;&gt;""),E52*F52,"")</f>
        <v/>
      </c>
      <c r="H52" s="8" t="n"/>
      <c r="I52" s="9" t="n"/>
    </row>
    <row r="53">
      <c r="A53" s="10" t="n"/>
      <c r="B53" s="11" t="n"/>
      <c r="C53" s="11">
        <f>IF(A53="","",TEXT(A53,"MMMM YYYY"))</f>
        <v/>
      </c>
      <c r="D53" s="11" t="n"/>
      <c r="E53" s="12" t="n"/>
      <c r="F53" s="13" t="n"/>
      <c r="G53" s="14">
        <f>IF(AND(E53&lt;&gt;"",F53&lt;&gt;""),E53*F53,"")</f>
        <v/>
      </c>
      <c r="H53" s="15" t="n"/>
      <c r="I53" s="16" t="n"/>
    </row>
    <row r="54">
      <c r="A54" s="3" t="n"/>
      <c r="B54" s="4" t="n"/>
      <c r="C54" s="4">
        <f>IF(A54="","",TEXT(A54,"MMMM YYYY"))</f>
        <v/>
      </c>
      <c r="D54" s="4" t="n"/>
      <c r="E54" s="5" t="n"/>
      <c r="F54" s="6" t="n"/>
      <c r="G54" s="7">
        <f>IF(AND(E54&lt;&gt;"",F54&lt;&gt;""),E54*F54,"")</f>
        <v/>
      </c>
      <c r="H54" s="8" t="n"/>
      <c r="I54" s="9" t="n"/>
    </row>
    <row r="55">
      <c r="A55" s="10" t="n"/>
      <c r="B55" s="11" t="n"/>
      <c r="C55" s="11">
        <f>IF(A55="","",TEXT(A55,"MMMM YYYY"))</f>
        <v/>
      </c>
      <c r="D55" s="11" t="n"/>
      <c r="E55" s="12" t="n"/>
      <c r="F55" s="13" t="n"/>
      <c r="G55" s="14">
        <f>IF(AND(E55&lt;&gt;"",F55&lt;&gt;""),E55*F55,"")</f>
        <v/>
      </c>
      <c r="H55" s="15" t="n"/>
      <c r="I55" s="16" t="n"/>
    </row>
    <row r="56">
      <c r="A56" s="3" t="n"/>
      <c r="B56" s="4" t="n"/>
      <c r="C56" s="4">
        <f>IF(A56="","",TEXT(A56,"MMMM YYYY"))</f>
        <v/>
      </c>
      <c r="D56" s="4" t="n"/>
      <c r="E56" s="5" t="n"/>
      <c r="F56" s="6" t="n"/>
      <c r="G56" s="7">
        <f>IF(AND(E56&lt;&gt;"",F56&lt;&gt;""),E56*F56,"")</f>
        <v/>
      </c>
      <c r="H56" s="8" t="n"/>
      <c r="I56" s="9" t="n"/>
    </row>
    <row r="57">
      <c r="A57" s="10" t="n"/>
      <c r="B57" s="11" t="n"/>
      <c r="C57" s="11">
        <f>IF(A57="","",TEXT(A57,"MMMM YYYY"))</f>
        <v/>
      </c>
      <c r="D57" s="11" t="n"/>
      <c r="E57" s="12" t="n"/>
      <c r="F57" s="13" t="n"/>
      <c r="G57" s="14">
        <f>IF(AND(E57&lt;&gt;"",F57&lt;&gt;""),E57*F57,"")</f>
        <v/>
      </c>
      <c r="H57" s="15" t="n"/>
      <c r="I57" s="16" t="n"/>
    </row>
    <row r="58">
      <c r="A58" s="3" t="n"/>
      <c r="B58" s="4" t="n"/>
      <c r="C58" s="4">
        <f>IF(A58="","",TEXT(A58,"MMMM YYYY"))</f>
        <v/>
      </c>
      <c r="D58" s="4" t="n"/>
      <c r="E58" s="5" t="n"/>
      <c r="F58" s="6" t="n"/>
      <c r="G58" s="7">
        <f>IF(AND(E58&lt;&gt;"",F58&lt;&gt;""),E58*F58,"")</f>
        <v/>
      </c>
      <c r="H58" s="8" t="n"/>
      <c r="I58" s="9" t="n"/>
    </row>
    <row r="59">
      <c r="A59" s="10" t="n"/>
      <c r="B59" s="11" t="n"/>
      <c r="C59" s="11">
        <f>IF(A59="","",TEXT(A59,"MMMM YYYY"))</f>
        <v/>
      </c>
      <c r="D59" s="11" t="n"/>
      <c r="E59" s="12" t="n"/>
      <c r="F59" s="13" t="n"/>
      <c r="G59" s="14">
        <f>IF(AND(E59&lt;&gt;"",F59&lt;&gt;""),E59*F59,"")</f>
        <v/>
      </c>
      <c r="H59" s="15" t="n"/>
      <c r="I59" s="16" t="n"/>
    </row>
    <row r="60">
      <c r="A60" s="3" t="n"/>
      <c r="B60" s="4" t="n"/>
      <c r="C60" s="4">
        <f>IF(A60="","",TEXT(A60,"MMMM YYYY"))</f>
        <v/>
      </c>
      <c r="D60" s="4" t="n"/>
      <c r="E60" s="5" t="n"/>
      <c r="F60" s="6" t="n"/>
      <c r="G60" s="7">
        <f>IF(AND(E60&lt;&gt;"",F60&lt;&gt;""),E60*F60,"")</f>
        <v/>
      </c>
      <c r="H60" s="8" t="n"/>
      <c r="I60" s="9" t="n"/>
    </row>
    <row r="61">
      <c r="A61" s="10" t="n"/>
      <c r="B61" s="11" t="n"/>
      <c r="C61" s="11">
        <f>IF(A61="","",TEXT(A61,"MMMM YYYY"))</f>
        <v/>
      </c>
      <c r="D61" s="11" t="n"/>
      <c r="E61" s="12" t="n"/>
      <c r="F61" s="13" t="n"/>
      <c r="G61" s="14">
        <f>IF(AND(E61&lt;&gt;"",F61&lt;&gt;""),E61*F61,"")</f>
        <v/>
      </c>
      <c r="H61" s="15" t="n"/>
      <c r="I61" s="16" t="n"/>
    </row>
    <row r="62">
      <c r="A62" s="3" t="n"/>
      <c r="B62" s="4" t="n"/>
      <c r="C62" s="4">
        <f>IF(A62="","",TEXT(A62,"MMMM YYYY"))</f>
        <v/>
      </c>
      <c r="D62" s="4" t="n"/>
      <c r="E62" s="5" t="n"/>
      <c r="F62" s="6" t="n"/>
      <c r="G62" s="7">
        <f>IF(AND(E62&lt;&gt;"",F62&lt;&gt;""),E62*F62,"")</f>
        <v/>
      </c>
      <c r="H62" s="8" t="n"/>
      <c r="I62" s="9" t="n"/>
    </row>
    <row r="63">
      <c r="A63" s="10" t="n"/>
      <c r="B63" s="11" t="n"/>
      <c r="C63" s="11">
        <f>IF(A63="","",TEXT(A63,"MMMM YYYY"))</f>
        <v/>
      </c>
      <c r="D63" s="11" t="n"/>
      <c r="E63" s="12" t="n"/>
      <c r="F63" s="13" t="n"/>
      <c r="G63" s="14">
        <f>IF(AND(E63&lt;&gt;"",F63&lt;&gt;""),E63*F63,"")</f>
        <v/>
      </c>
      <c r="H63" s="15" t="n"/>
      <c r="I63" s="16" t="n"/>
    </row>
    <row r="64">
      <c r="A64" s="3" t="n"/>
      <c r="B64" s="4" t="n"/>
      <c r="C64" s="4">
        <f>IF(A64="","",TEXT(A64,"MMMM YYYY"))</f>
        <v/>
      </c>
      <c r="D64" s="4" t="n"/>
      <c r="E64" s="5" t="n"/>
      <c r="F64" s="6" t="n"/>
      <c r="G64" s="7">
        <f>IF(AND(E64&lt;&gt;"",F64&lt;&gt;""),E64*F64,"")</f>
        <v/>
      </c>
      <c r="H64" s="8" t="n"/>
      <c r="I64" s="9" t="n"/>
    </row>
    <row r="65">
      <c r="A65" s="10" t="n"/>
      <c r="B65" s="11" t="n"/>
      <c r="C65" s="11">
        <f>IF(A65="","",TEXT(A65,"MMMM YYYY"))</f>
        <v/>
      </c>
      <c r="D65" s="11" t="n"/>
      <c r="E65" s="12" t="n"/>
      <c r="F65" s="13" t="n"/>
      <c r="G65" s="14">
        <f>IF(AND(E65&lt;&gt;"",F65&lt;&gt;""),E65*F65,"")</f>
        <v/>
      </c>
      <c r="H65" s="15" t="n"/>
      <c r="I65" s="16" t="n"/>
    </row>
    <row r="66">
      <c r="A66" s="3" t="n"/>
      <c r="B66" s="4" t="n"/>
      <c r="C66" s="4">
        <f>IF(A66="","",TEXT(A66,"MMMM YYYY"))</f>
        <v/>
      </c>
      <c r="D66" s="4" t="n"/>
      <c r="E66" s="5" t="n"/>
      <c r="F66" s="6" t="n"/>
      <c r="G66" s="7">
        <f>IF(AND(E66&lt;&gt;"",F66&lt;&gt;""),E66*F66,"")</f>
        <v/>
      </c>
      <c r="H66" s="8" t="n"/>
      <c r="I66" s="9" t="n"/>
    </row>
    <row r="67">
      <c r="A67" s="10" t="n"/>
      <c r="B67" s="11" t="n"/>
      <c r="C67" s="11">
        <f>IF(A67="","",TEXT(A67,"MMMM YYYY"))</f>
        <v/>
      </c>
      <c r="D67" s="11" t="n"/>
      <c r="E67" s="12" t="n"/>
      <c r="F67" s="13" t="n"/>
      <c r="G67" s="14">
        <f>IF(AND(E67&lt;&gt;"",F67&lt;&gt;""),E67*F67,"")</f>
        <v/>
      </c>
      <c r="H67" s="15" t="n"/>
      <c r="I67" s="16" t="n"/>
    </row>
    <row r="68">
      <c r="A68" s="3" t="n"/>
      <c r="B68" s="4" t="n"/>
      <c r="C68" s="4">
        <f>IF(A68="","",TEXT(A68,"MMMM YYYY"))</f>
        <v/>
      </c>
      <c r="D68" s="4" t="n"/>
      <c r="E68" s="5" t="n"/>
      <c r="F68" s="6" t="n"/>
      <c r="G68" s="7">
        <f>IF(AND(E68&lt;&gt;"",F68&lt;&gt;""),E68*F68,"")</f>
        <v/>
      </c>
      <c r="H68" s="8" t="n"/>
      <c r="I68" s="9" t="n"/>
    </row>
    <row r="69">
      <c r="A69" s="10" t="n"/>
      <c r="B69" s="11" t="n"/>
      <c r="C69" s="11">
        <f>IF(A69="","",TEXT(A69,"MMMM YYYY"))</f>
        <v/>
      </c>
      <c r="D69" s="11" t="n"/>
      <c r="E69" s="12" t="n"/>
      <c r="F69" s="13" t="n"/>
      <c r="G69" s="14">
        <f>IF(AND(E69&lt;&gt;"",F69&lt;&gt;""),E69*F69,"")</f>
        <v/>
      </c>
      <c r="H69" s="15" t="n"/>
      <c r="I69" s="16" t="n"/>
    </row>
    <row r="70">
      <c r="A70" s="3" t="n"/>
      <c r="B70" s="4" t="n"/>
      <c r="C70" s="4">
        <f>IF(A70="","",TEXT(A70,"MMMM YYYY"))</f>
        <v/>
      </c>
      <c r="D70" s="4" t="n"/>
      <c r="E70" s="5" t="n"/>
      <c r="F70" s="6" t="n"/>
      <c r="G70" s="7">
        <f>IF(AND(E70&lt;&gt;"",F70&lt;&gt;""),E70*F70,"")</f>
        <v/>
      </c>
      <c r="H70" s="8" t="n"/>
      <c r="I70" s="9" t="n"/>
    </row>
    <row r="71">
      <c r="A71" s="10" t="n"/>
      <c r="B71" s="11" t="n"/>
      <c r="C71" s="11">
        <f>IF(A71="","",TEXT(A71,"MMMM YYYY"))</f>
        <v/>
      </c>
      <c r="D71" s="11" t="n"/>
      <c r="E71" s="12" t="n"/>
      <c r="F71" s="13" t="n"/>
      <c r="G71" s="14">
        <f>IF(AND(E71&lt;&gt;"",F71&lt;&gt;""),E71*F71,"")</f>
        <v/>
      </c>
      <c r="H71" s="15" t="n"/>
      <c r="I71" s="16" t="n"/>
    </row>
    <row r="72">
      <c r="A72" s="3" t="n"/>
      <c r="B72" s="4" t="n"/>
      <c r="C72" s="4">
        <f>IF(A72="","",TEXT(A72,"MMMM YYYY"))</f>
        <v/>
      </c>
      <c r="D72" s="4" t="n"/>
      <c r="E72" s="5" t="n"/>
      <c r="F72" s="6" t="n"/>
      <c r="G72" s="7">
        <f>IF(AND(E72&lt;&gt;"",F72&lt;&gt;""),E72*F72,"")</f>
        <v/>
      </c>
      <c r="H72" s="8" t="n"/>
      <c r="I72" s="9" t="n"/>
    </row>
    <row r="73">
      <c r="A73" s="10" t="n"/>
      <c r="B73" s="11" t="n"/>
      <c r="C73" s="11">
        <f>IF(A73="","",TEXT(A73,"MMMM YYYY"))</f>
        <v/>
      </c>
      <c r="D73" s="11" t="n"/>
      <c r="E73" s="12" t="n"/>
      <c r="F73" s="13" t="n"/>
      <c r="G73" s="14">
        <f>IF(AND(E73&lt;&gt;"",F73&lt;&gt;""),E73*F73,"")</f>
        <v/>
      </c>
      <c r="H73" s="15" t="n"/>
      <c r="I73" s="16" t="n"/>
    </row>
    <row r="74">
      <c r="A74" s="3" t="n"/>
      <c r="B74" s="4" t="n"/>
      <c r="C74" s="4">
        <f>IF(A74="","",TEXT(A74,"MMMM YYYY"))</f>
        <v/>
      </c>
      <c r="D74" s="4" t="n"/>
      <c r="E74" s="5" t="n"/>
      <c r="F74" s="6" t="n"/>
      <c r="G74" s="7">
        <f>IF(AND(E74&lt;&gt;"",F74&lt;&gt;""),E74*F74,"")</f>
        <v/>
      </c>
      <c r="H74" s="8" t="n"/>
      <c r="I74" s="9" t="n"/>
    </row>
    <row r="75">
      <c r="A75" s="10" t="n"/>
      <c r="B75" s="11" t="n"/>
      <c r="C75" s="11">
        <f>IF(A75="","",TEXT(A75,"MMMM YYYY"))</f>
        <v/>
      </c>
      <c r="D75" s="11" t="n"/>
      <c r="E75" s="12" t="n"/>
      <c r="F75" s="13" t="n"/>
      <c r="G75" s="14">
        <f>IF(AND(E75&lt;&gt;"",F75&lt;&gt;""),E75*F75,"")</f>
        <v/>
      </c>
      <c r="H75" s="15" t="n"/>
      <c r="I75" s="16" t="n"/>
    </row>
    <row r="76">
      <c r="A76" s="3" t="n"/>
      <c r="B76" s="4" t="n"/>
      <c r="C76" s="4">
        <f>IF(A76="","",TEXT(A76,"MMMM YYYY"))</f>
        <v/>
      </c>
      <c r="D76" s="4" t="n"/>
      <c r="E76" s="5" t="n"/>
      <c r="F76" s="6" t="n"/>
      <c r="G76" s="7">
        <f>IF(AND(E76&lt;&gt;"",F76&lt;&gt;""),E76*F76,"")</f>
        <v/>
      </c>
      <c r="H76" s="8" t="n"/>
      <c r="I76" s="9" t="n"/>
    </row>
    <row r="77">
      <c r="A77" s="10" t="n"/>
      <c r="B77" s="11" t="n"/>
      <c r="C77" s="11">
        <f>IF(A77="","",TEXT(A77,"MMMM YYYY"))</f>
        <v/>
      </c>
      <c r="D77" s="11" t="n"/>
      <c r="E77" s="12" t="n"/>
      <c r="F77" s="13" t="n"/>
      <c r="G77" s="14">
        <f>IF(AND(E77&lt;&gt;"",F77&lt;&gt;""),E77*F77,"")</f>
        <v/>
      </c>
      <c r="H77" s="15" t="n"/>
      <c r="I77" s="16" t="n"/>
    </row>
    <row r="78">
      <c r="A78" s="3" t="n"/>
      <c r="B78" s="4" t="n"/>
      <c r="C78" s="4">
        <f>IF(A78="","",TEXT(A78,"MMMM YYYY"))</f>
        <v/>
      </c>
      <c r="D78" s="4" t="n"/>
      <c r="E78" s="5" t="n"/>
      <c r="F78" s="6" t="n"/>
      <c r="G78" s="7">
        <f>IF(AND(E78&lt;&gt;"",F78&lt;&gt;""),E78*F78,"")</f>
        <v/>
      </c>
      <c r="H78" s="8" t="n"/>
      <c r="I78" s="9" t="n"/>
    </row>
    <row r="79">
      <c r="A79" s="10" t="n"/>
      <c r="B79" s="11" t="n"/>
      <c r="C79" s="11">
        <f>IF(A79="","",TEXT(A79,"MMMM YYYY"))</f>
        <v/>
      </c>
      <c r="D79" s="11" t="n"/>
      <c r="E79" s="12" t="n"/>
      <c r="F79" s="13" t="n"/>
      <c r="G79" s="14">
        <f>IF(AND(E79&lt;&gt;"",F79&lt;&gt;""),E79*F79,"")</f>
        <v/>
      </c>
      <c r="H79" s="15" t="n"/>
      <c r="I79" s="16" t="n"/>
    </row>
    <row r="80">
      <c r="A80" s="3" t="n"/>
      <c r="B80" s="4" t="n"/>
      <c r="C80" s="4">
        <f>IF(A80="","",TEXT(A80,"MMMM YYYY"))</f>
        <v/>
      </c>
      <c r="D80" s="4" t="n"/>
      <c r="E80" s="5" t="n"/>
      <c r="F80" s="6" t="n"/>
      <c r="G80" s="7">
        <f>IF(AND(E80&lt;&gt;"",F80&lt;&gt;""),E80*F80,"")</f>
        <v/>
      </c>
      <c r="H80" s="8" t="n"/>
      <c r="I80" s="9" t="n"/>
    </row>
    <row r="81">
      <c r="A81" s="10" t="n"/>
      <c r="B81" s="11" t="n"/>
      <c r="C81" s="11">
        <f>IF(A81="","",TEXT(A81,"MMMM YYYY"))</f>
        <v/>
      </c>
      <c r="D81" s="11" t="n"/>
      <c r="E81" s="12" t="n"/>
      <c r="F81" s="13" t="n"/>
      <c r="G81" s="14">
        <f>IF(AND(E81&lt;&gt;"",F81&lt;&gt;""),E81*F81,"")</f>
        <v/>
      </c>
      <c r="H81" s="15" t="n"/>
      <c r="I81" s="16" t="n"/>
    </row>
    <row r="82">
      <c r="A82" s="3" t="n"/>
      <c r="B82" s="4" t="n"/>
      <c r="C82" s="4">
        <f>IF(A82="","",TEXT(A82,"MMMM YYYY"))</f>
        <v/>
      </c>
      <c r="D82" s="4" t="n"/>
      <c r="E82" s="5" t="n"/>
      <c r="F82" s="6" t="n"/>
      <c r="G82" s="7">
        <f>IF(AND(E82&lt;&gt;"",F82&lt;&gt;""),E82*F82,"")</f>
        <v/>
      </c>
      <c r="H82" s="8" t="n"/>
      <c r="I82" s="9" t="n"/>
    </row>
    <row r="83">
      <c r="A83" s="10" t="n"/>
      <c r="B83" s="11" t="n"/>
      <c r="C83" s="11">
        <f>IF(A83="","",TEXT(A83,"MMMM YYYY"))</f>
        <v/>
      </c>
      <c r="D83" s="11" t="n"/>
      <c r="E83" s="12" t="n"/>
      <c r="F83" s="13" t="n"/>
      <c r="G83" s="14">
        <f>IF(AND(E83&lt;&gt;"",F83&lt;&gt;""),E83*F83,"")</f>
        <v/>
      </c>
      <c r="H83" s="15" t="n"/>
      <c r="I83" s="16" t="n"/>
    </row>
    <row r="84">
      <c r="A84" s="3" t="n"/>
      <c r="B84" s="4" t="n"/>
      <c r="C84" s="4">
        <f>IF(A84="","",TEXT(A84,"MMMM YYYY"))</f>
        <v/>
      </c>
      <c r="D84" s="4" t="n"/>
      <c r="E84" s="5" t="n"/>
      <c r="F84" s="6" t="n"/>
      <c r="G84" s="7">
        <f>IF(AND(E84&lt;&gt;"",F84&lt;&gt;""),E84*F84,"")</f>
        <v/>
      </c>
      <c r="H84" s="8" t="n"/>
      <c r="I84" s="9" t="n"/>
    </row>
    <row r="85">
      <c r="A85" s="10" t="n"/>
      <c r="B85" s="11" t="n"/>
      <c r="C85" s="11">
        <f>IF(A85="","",TEXT(A85,"MMMM YYYY"))</f>
        <v/>
      </c>
      <c r="D85" s="11" t="n"/>
      <c r="E85" s="12" t="n"/>
      <c r="F85" s="13" t="n"/>
      <c r="G85" s="14">
        <f>IF(AND(E85&lt;&gt;"",F85&lt;&gt;""),E85*F85,"")</f>
        <v/>
      </c>
      <c r="H85" s="15" t="n"/>
      <c r="I85" s="16" t="n"/>
    </row>
    <row r="86">
      <c r="A86" s="3" t="n"/>
      <c r="B86" s="4" t="n"/>
      <c r="C86" s="4">
        <f>IF(A86="","",TEXT(A86,"MMMM YYYY"))</f>
        <v/>
      </c>
      <c r="D86" s="4" t="n"/>
      <c r="E86" s="5" t="n"/>
      <c r="F86" s="6" t="n"/>
      <c r="G86" s="7">
        <f>IF(AND(E86&lt;&gt;"",F86&lt;&gt;""),E86*F86,"")</f>
        <v/>
      </c>
      <c r="H86" s="8" t="n"/>
      <c r="I86" s="9" t="n"/>
    </row>
    <row r="87">
      <c r="A87" s="10" t="n"/>
      <c r="B87" s="11" t="n"/>
      <c r="C87" s="11">
        <f>IF(A87="","",TEXT(A87,"MMMM YYYY"))</f>
        <v/>
      </c>
      <c r="D87" s="11" t="n"/>
      <c r="E87" s="12" t="n"/>
      <c r="F87" s="13" t="n"/>
      <c r="G87" s="14">
        <f>IF(AND(E87&lt;&gt;"",F87&lt;&gt;""),E87*F87,"")</f>
        <v/>
      </c>
      <c r="H87" s="15" t="n"/>
      <c r="I87" s="16" t="n"/>
    </row>
    <row r="88">
      <c r="A88" s="3" t="n"/>
      <c r="B88" s="4" t="n"/>
      <c r="C88" s="4">
        <f>IF(A88="","",TEXT(A88,"MMMM YYYY"))</f>
        <v/>
      </c>
      <c r="D88" s="4" t="n"/>
      <c r="E88" s="5" t="n"/>
      <c r="F88" s="6" t="n"/>
      <c r="G88" s="7">
        <f>IF(AND(E88&lt;&gt;"",F88&lt;&gt;""),E88*F88,"")</f>
        <v/>
      </c>
      <c r="H88" s="8" t="n"/>
      <c r="I88" s="9" t="n"/>
    </row>
    <row r="89">
      <c r="A89" s="10" t="n"/>
      <c r="B89" s="11" t="n"/>
      <c r="C89" s="11">
        <f>IF(A89="","",TEXT(A89,"MMMM YYYY"))</f>
        <v/>
      </c>
      <c r="D89" s="11" t="n"/>
      <c r="E89" s="12" t="n"/>
      <c r="F89" s="13" t="n"/>
      <c r="G89" s="14">
        <f>IF(AND(E89&lt;&gt;"",F89&lt;&gt;""),E89*F89,"")</f>
        <v/>
      </c>
      <c r="H89" s="15" t="n"/>
      <c r="I89" s="16" t="n"/>
    </row>
    <row r="90">
      <c r="A90" s="3" t="n"/>
      <c r="B90" s="4" t="n"/>
      <c r="C90" s="4">
        <f>IF(A90="","",TEXT(A90,"MMMM YYYY"))</f>
        <v/>
      </c>
      <c r="D90" s="4" t="n"/>
      <c r="E90" s="5" t="n"/>
      <c r="F90" s="6" t="n"/>
      <c r="G90" s="7">
        <f>IF(AND(E90&lt;&gt;"",F90&lt;&gt;""),E90*F90,"")</f>
        <v/>
      </c>
      <c r="H90" s="8" t="n"/>
      <c r="I90" s="9" t="n"/>
    </row>
    <row r="91">
      <c r="A91" s="10" t="n"/>
      <c r="B91" s="11" t="n"/>
      <c r="C91" s="11">
        <f>IF(A91="","",TEXT(A91,"MMMM YYYY"))</f>
        <v/>
      </c>
      <c r="D91" s="11" t="n"/>
      <c r="E91" s="12" t="n"/>
      <c r="F91" s="13" t="n"/>
      <c r="G91" s="14">
        <f>IF(AND(E91&lt;&gt;"",F91&lt;&gt;""),E91*F91,"")</f>
        <v/>
      </c>
      <c r="H91" s="15" t="n"/>
      <c r="I91" s="16" t="n"/>
    </row>
    <row r="92">
      <c r="A92" s="3" t="n"/>
      <c r="B92" s="4" t="n"/>
      <c r="C92" s="4">
        <f>IF(A92="","",TEXT(A92,"MMMM YYYY"))</f>
        <v/>
      </c>
      <c r="D92" s="4" t="n"/>
      <c r="E92" s="5" t="n"/>
      <c r="F92" s="6" t="n"/>
      <c r="G92" s="7">
        <f>IF(AND(E92&lt;&gt;"",F92&lt;&gt;""),E92*F92,"")</f>
        <v/>
      </c>
      <c r="H92" s="8" t="n"/>
      <c r="I92" s="9" t="n"/>
    </row>
    <row r="93">
      <c r="A93" s="10" t="n"/>
      <c r="B93" s="11" t="n"/>
      <c r="C93" s="11">
        <f>IF(A93="","",TEXT(A93,"MMMM YYYY"))</f>
        <v/>
      </c>
      <c r="D93" s="11" t="n"/>
      <c r="E93" s="12" t="n"/>
      <c r="F93" s="13" t="n"/>
      <c r="G93" s="14">
        <f>IF(AND(E93&lt;&gt;"",F93&lt;&gt;""),E93*F93,"")</f>
        <v/>
      </c>
      <c r="H93" s="15" t="n"/>
      <c r="I93" s="16" t="n"/>
    </row>
    <row r="94">
      <c r="A94" s="3" t="n"/>
      <c r="B94" s="4" t="n"/>
      <c r="C94" s="4">
        <f>IF(A94="","",TEXT(A94,"MMMM YYYY"))</f>
        <v/>
      </c>
      <c r="D94" s="4" t="n"/>
      <c r="E94" s="5" t="n"/>
      <c r="F94" s="6" t="n"/>
      <c r="G94" s="7">
        <f>IF(AND(E94&lt;&gt;"",F94&lt;&gt;""),E94*F94,"")</f>
        <v/>
      </c>
      <c r="H94" s="8" t="n"/>
      <c r="I94" s="9" t="n"/>
    </row>
    <row r="95">
      <c r="A95" s="10" t="n"/>
      <c r="B95" s="11" t="n"/>
      <c r="C95" s="11">
        <f>IF(A95="","",TEXT(A95,"MMMM YYYY"))</f>
        <v/>
      </c>
      <c r="D95" s="11" t="n"/>
      <c r="E95" s="12" t="n"/>
      <c r="F95" s="13" t="n"/>
      <c r="G95" s="14">
        <f>IF(AND(E95&lt;&gt;"",F95&lt;&gt;""),E95*F95,"")</f>
        <v/>
      </c>
      <c r="H95" s="15" t="n"/>
      <c r="I95" s="16" t="n"/>
    </row>
    <row r="96">
      <c r="A96" s="3" t="n"/>
      <c r="B96" s="4" t="n"/>
      <c r="C96" s="4">
        <f>IF(A96="","",TEXT(A96,"MMMM YYYY"))</f>
        <v/>
      </c>
      <c r="D96" s="4" t="n"/>
      <c r="E96" s="5" t="n"/>
      <c r="F96" s="6" t="n"/>
      <c r="G96" s="7">
        <f>IF(AND(E96&lt;&gt;"",F96&lt;&gt;""),E96*F96,"")</f>
        <v/>
      </c>
      <c r="H96" s="8" t="n"/>
      <c r="I96" s="9" t="n"/>
    </row>
    <row r="97">
      <c r="A97" s="10" t="n"/>
      <c r="B97" s="11" t="n"/>
      <c r="C97" s="11">
        <f>IF(A97="","",TEXT(A97,"MMMM YYYY"))</f>
        <v/>
      </c>
      <c r="D97" s="11" t="n"/>
      <c r="E97" s="12" t="n"/>
      <c r="F97" s="13" t="n"/>
      <c r="G97" s="14">
        <f>IF(AND(E97&lt;&gt;"",F97&lt;&gt;""),E97*F97,"")</f>
        <v/>
      </c>
      <c r="H97" s="15" t="n"/>
      <c r="I97" s="16" t="n"/>
    </row>
    <row r="98">
      <c r="A98" s="3" t="n"/>
      <c r="B98" s="4" t="n"/>
      <c r="C98" s="4">
        <f>IF(A98="","",TEXT(A98,"MMMM YYYY"))</f>
        <v/>
      </c>
      <c r="D98" s="4" t="n"/>
      <c r="E98" s="5" t="n"/>
      <c r="F98" s="6" t="n"/>
      <c r="G98" s="7">
        <f>IF(AND(E98&lt;&gt;"",F98&lt;&gt;""),E98*F98,"")</f>
        <v/>
      </c>
      <c r="H98" s="8" t="n"/>
      <c r="I98" s="9" t="n"/>
    </row>
    <row r="99">
      <c r="A99" s="10" t="n"/>
      <c r="B99" s="11" t="n"/>
      <c r="C99" s="11">
        <f>IF(A99="","",TEXT(A99,"MMMM YYYY"))</f>
        <v/>
      </c>
      <c r="D99" s="11" t="n"/>
      <c r="E99" s="12" t="n"/>
      <c r="F99" s="13" t="n"/>
      <c r="G99" s="14">
        <f>IF(AND(E99&lt;&gt;"",F99&lt;&gt;""),E99*F99,"")</f>
        <v/>
      </c>
      <c r="H99" s="15" t="n"/>
      <c r="I99" s="16" t="n"/>
    </row>
    <row r="100">
      <c r="A100" s="3" t="n"/>
      <c r="B100" s="4" t="n"/>
      <c r="C100" s="4">
        <f>IF(A100="","",TEXT(A100,"MMMM YYYY"))</f>
        <v/>
      </c>
      <c r="D100" s="4" t="n"/>
      <c r="E100" s="5" t="n"/>
      <c r="F100" s="6" t="n"/>
      <c r="G100" s="7">
        <f>IF(AND(E100&lt;&gt;"",F100&lt;&gt;""),E100*F100,"")</f>
        <v/>
      </c>
      <c r="H100" s="8" t="n"/>
      <c r="I100" s="9" t="n"/>
    </row>
    <row r="101">
      <c r="A101" s="10" t="n"/>
      <c r="B101" s="11" t="n"/>
      <c r="C101" s="11">
        <f>IF(A101="","",TEXT(A101,"MMMM YYYY"))</f>
        <v/>
      </c>
      <c r="D101" s="11" t="n"/>
      <c r="E101" s="12" t="n"/>
      <c r="F101" s="13" t="n"/>
      <c r="G101" s="14">
        <f>IF(AND(E101&lt;&gt;"",F101&lt;&gt;""),E101*F101,"")</f>
        <v/>
      </c>
      <c r="H101" s="15" t="n"/>
      <c r="I101" s="16" t="n"/>
    </row>
    <row r="102">
      <c r="A102" s="3" t="n"/>
      <c r="B102" s="4" t="n"/>
      <c r="C102" s="4">
        <f>IF(A102="","",TEXT(A102,"MMMM YYYY"))</f>
        <v/>
      </c>
      <c r="D102" s="4" t="n"/>
      <c r="E102" s="5" t="n"/>
      <c r="F102" s="6" t="n"/>
      <c r="G102" s="7">
        <f>IF(AND(E102&lt;&gt;"",F102&lt;&gt;""),E102*F102,"")</f>
        <v/>
      </c>
      <c r="H102" s="8" t="n"/>
      <c r="I102" s="9" t="n"/>
    </row>
    <row r="103">
      <c r="A103" s="10" t="n"/>
      <c r="B103" s="11" t="n"/>
      <c r="C103" s="11">
        <f>IF(A103="","",TEXT(A103,"MMMM YYYY"))</f>
        <v/>
      </c>
      <c r="D103" s="11" t="n"/>
      <c r="E103" s="12" t="n"/>
      <c r="F103" s="13" t="n"/>
      <c r="G103" s="14">
        <f>IF(AND(E103&lt;&gt;"",F103&lt;&gt;""),E103*F103,"")</f>
        <v/>
      </c>
      <c r="H103" s="15" t="n"/>
      <c r="I103" s="16" t="n"/>
    </row>
    <row r="104">
      <c r="A104" s="3" t="n"/>
      <c r="B104" s="4" t="n"/>
      <c r="C104" s="4">
        <f>IF(A104="","",TEXT(A104,"MMMM YYYY"))</f>
        <v/>
      </c>
      <c r="D104" s="4" t="n"/>
      <c r="E104" s="5" t="n"/>
      <c r="F104" s="6" t="n"/>
      <c r="G104" s="7">
        <f>IF(AND(E104&lt;&gt;"",F104&lt;&gt;""),E104*F104,"")</f>
        <v/>
      </c>
      <c r="H104" s="8" t="n"/>
      <c r="I104" s="9" t="n"/>
    </row>
    <row r="105">
      <c r="A105" s="10" t="n"/>
      <c r="B105" s="11" t="n"/>
      <c r="C105" s="11">
        <f>IF(A105="","",TEXT(A105,"MMMM YYYY"))</f>
        <v/>
      </c>
      <c r="D105" s="11" t="n"/>
      <c r="E105" s="12" t="n"/>
      <c r="F105" s="13" t="n"/>
      <c r="G105" s="14">
        <f>IF(AND(E105&lt;&gt;"",F105&lt;&gt;""),E105*F105,"")</f>
        <v/>
      </c>
      <c r="H105" s="15" t="n"/>
      <c r="I105" s="16" t="n"/>
    </row>
    <row r="106">
      <c r="A106" s="3" t="n"/>
      <c r="B106" s="4" t="n"/>
      <c r="C106" s="4">
        <f>IF(A106="","",TEXT(A106,"MMMM YYYY"))</f>
        <v/>
      </c>
      <c r="D106" s="4" t="n"/>
      <c r="E106" s="5" t="n"/>
      <c r="F106" s="6" t="n"/>
      <c r="G106" s="7">
        <f>IF(AND(E106&lt;&gt;"",F106&lt;&gt;""),E106*F106,"")</f>
        <v/>
      </c>
      <c r="H106" s="8" t="n"/>
      <c r="I106" s="9" t="n"/>
    </row>
    <row r="107">
      <c r="A107" s="10" t="n"/>
      <c r="B107" s="11" t="n"/>
      <c r="C107" s="11">
        <f>IF(A107="","",TEXT(A107,"MMMM YYYY"))</f>
        <v/>
      </c>
      <c r="D107" s="11" t="n"/>
      <c r="E107" s="12" t="n"/>
      <c r="F107" s="13" t="n"/>
      <c r="G107" s="14">
        <f>IF(AND(E107&lt;&gt;"",F107&lt;&gt;""),E107*F107,"")</f>
        <v/>
      </c>
      <c r="H107" s="15" t="n"/>
      <c r="I107" s="16" t="n"/>
    </row>
    <row r="108">
      <c r="A108" s="3" t="n"/>
      <c r="B108" s="4" t="n"/>
      <c r="C108" s="4">
        <f>IF(A108="","",TEXT(A108,"MMMM YYYY"))</f>
        <v/>
      </c>
      <c r="D108" s="4" t="n"/>
      <c r="E108" s="5" t="n"/>
      <c r="F108" s="6" t="n"/>
      <c r="G108" s="7">
        <f>IF(AND(E108&lt;&gt;"",F108&lt;&gt;""),E108*F108,"")</f>
        <v/>
      </c>
      <c r="H108" s="8" t="n"/>
      <c r="I108" s="9" t="n"/>
    </row>
    <row r="109">
      <c r="A109" s="10" t="n"/>
      <c r="B109" s="11" t="n"/>
      <c r="C109" s="11">
        <f>IF(A109="","",TEXT(A109,"MMMM YYYY"))</f>
        <v/>
      </c>
      <c r="D109" s="11" t="n"/>
      <c r="E109" s="12" t="n"/>
      <c r="F109" s="13" t="n"/>
      <c r="G109" s="14">
        <f>IF(AND(E109&lt;&gt;"",F109&lt;&gt;""),E109*F109,"")</f>
        <v/>
      </c>
      <c r="H109" s="15" t="n"/>
      <c r="I109" s="16" t="n"/>
    </row>
    <row r="110">
      <c r="A110" s="3" t="n"/>
      <c r="B110" s="4" t="n"/>
      <c r="C110" s="4">
        <f>IF(A110="","",TEXT(A110,"MMMM YYYY"))</f>
        <v/>
      </c>
      <c r="D110" s="4" t="n"/>
      <c r="E110" s="5" t="n"/>
      <c r="F110" s="6" t="n"/>
      <c r="G110" s="7">
        <f>IF(AND(E110&lt;&gt;"",F110&lt;&gt;""),E110*F110,"")</f>
        <v/>
      </c>
      <c r="H110" s="8" t="n"/>
      <c r="I110" s="9" t="n"/>
    </row>
    <row r="111">
      <c r="A111" s="10" t="n"/>
      <c r="B111" s="11" t="n"/>
      <c r="C111" s="11">
        <f>IF(A111="","",TEXT(A111,"MMMM YYYY"))</f>
        <v/>
      </c>
      <c r="D111" s="11" t="n"/>
      <c r="E111" s="12" t="n"/>
      <c r="F111" s="13" t="n"/>
      <c r="G111" s="14">
        <f>IF(AND(E111&lt;&gt;"",F111&lt;&gt;""),E111*F111,"")</f>
        <v/>
      </c>
      <c r="H111" s="15" t="n"/>
      <c r="I111" s="16" t="n"/>
    </row>
    <row r="112">
      <c r="A112" s="3" t="n"/>
      <c r="B112" s="4" t="n"/>
      <c r="C112" s="4">
        <f>IF(A112="","",TEXT(A112,"MMMM YYYY"))</f>
        <v/>
      </c>
      <c r="D112" s="4" t="n"/>
      <c r="E112" s="5" t="n"/>
      <c r="F112" s="6" t="n"/>
      <c r="G112" s="7">
        <f>IF(AND(E112&lt;&gt;"",F112&lt;&gt;""),E112*F112,"")</f>
        <v/>
      </c>
      <c r="H112" s="8" t="n"/>
      <c r="I112" s="9" t="n"/>
    </row>
    <row r="113">
      <c r="A113" s="10" t="n"/>
      <c r="B113" s="11" t="n"/>
      <c r="C113" s="11">
        <f>IF(A113="","",TEXT(A113,"MMMM YYYY"))</f>
        <v/>
      </c>
      <c r="D113" s="11" t="n"/>
      <c r="E113" s="12" t="n"/>
      <c r="F113" s="13" t="n"/>
      <c r="G113" s="14">
        <f>IF(AND(E113&lt;&gt;"",F113&lt;&gt;""),E113*F113,"")</f>
        <v/>
      </c>
      <c r="H113" s="15" t="n"/>
      <c r="I113" s="16" t="n"/>
    </row>
    <row r="114">
      <c r="A114" s="3" t="n"/>
      <c r="B114" s="4" t="n"/>
      <c r="C114" s="4">
        <f>IF(A114="","",TEXT(A114,"MMMM YYYY"))</f>
        <v/>
      </c>
      <c r="D114" s="4" t="n"/>
      <c r="E114" s="5" t="n"/>
      <c r="F114" s="6" t="n"/>
      <c r="G114" s="7">
        <f>IF(AND(E114&lt;&gt;"",F114&lt;&gt;""),E114*F114,"")</f>
        <v/>
      </c>
      <c r="H114" s="8" t="n"/>
      <c r="I114" s="9" t="n"/>
    </row>
    <row r="115">
      <c r="A115" s="10" t="n"/>
      <c r="B115" s="11" t="n"/>
      <c r="C115" s="11">
        <f>IF(A115="","",TEXT(A115,"MMMM YYYY"))</f>
        <v/>
      </c>
      <c r="D115" s="11" t="n"/>
      <c r="E115" s="12" t="n"/>
      <c r="F115" s="13" t="n"/>
      <c r="G115" s="14">
        <f>IF(AND(E115&lt;&gt;"",F115&lt;&gt;""),E115*F115,"")</f>
        <v/>
      </c>
      <c r="H115" s="15" t="n"/>
      <c r="I115" s="16" t="n"/>
    </row>
    <row r="116">
      <c r="A116" s="3" t="n"/>
      <c r="B116" s="4" t="n"/>
      <c r="C116" s="4">
        <f>IF(A116="","",TEXT(A116,"MMMM YYYY"))</f>
        <v/>
      </c>
      <c r="D116" s="4" t="n"/>
      <c r="E116" s="5" t="n"/>
      <c r="F116" s="6" t="n"/>
      <c r="G116" s="7">
        <f>IF(AND(E116&lt;&gt;"",F116&lt;&gt;""),E116*F116,"")</f>
        <v/>
      </c>
      <c r="H116" s="8" t="n"/>
      <c r="I116" s="9" t="n"/>
    </row>
    <row r="117">
      <c r="A117" s="10" t="n"/>
      <c r="B117" s="11" t="n"/>
      <c r="C117" s="11">
        <f>IF(A117="","",TEXT(A117,"MMMM YYYY"))</f>
        <v/>
      </c>
      <c r="D117" s="11" t="n"/>
      <c r="E117" s="12" t="n"/>
      <c r="F117" s="13" t="n"/>
      <c r="G117" s="14">
        <f>IF(AND(E117&lt;&gt;"",F117&lt;&gt;""),E117*F117,"")</f>
        <v/>
      </c>
      <c r="H117" s="15" t="n"/>
      <c r="I117" s="16" t="n"/>
    </row>
    <row r="118">
      <c r="A118" s="3" t="n"/>
      <c r="B118" s="4" t="n"/>
      <c r="C118" s="4">
        <f>IF(A118="","",TEXT(A118,"MMMM YYYY"))</f>
        <v/>
      </c>
      <c r="D118" s="4" t="n"/>
      <c r="E118" s="5" t="n"/>
      <c r="F118" s="6" t="n"/>
      <c r="G118" s="7">
        <f>IF(AND(E118&lt;&gt;"",F118&lt;&gt;""),E118*F118,"")</f>
        <v/>
      </c>
      <c r="H118" s="8" t="n"/>
      <c r="I118" s="9" t="n"/>
    </row>
    <row r="119">
      <c r="A119" s="10" t="n"/>
      <c r="B119" s="11" t="n"/>
      <c r="C119" s="11">
        <f>IF(A119="","",TEXT(A119,"MMMM YYYY"))</f>
        <v/>
      </c>
      <c r="D119" s="11" t="n"/>
      <c r="E119" s="12" t="n"/>
      <c r="F119" s="13" t="n"/>
      <c r="G119" s="14">
        <f>IF(AND(E119&lt;&gt;"",F119&lt;&gt;""),E119*F119,"")</f>
        <v/>
      </c>
      <c r="H119" s="15" t="n"/>
      <c r="I119" s="16" t="n"/>
    </row>
    <row r="120">
      <c r="A120" s="3" t="n"/>
      <c r="B120" s="4" t="n"/>
      <c r="C120" s="4">
        <f>IF(A120="","",TEXT(A120,"MMMM YYYY"))</f>
        <v/>
      </c>
      <c r="D120" s="4" t="n"/>
      <c r="E120" s="5" t="n"/>
      <c r="F120" s="6" t="n"/>
      <c r="G120" s="7">
        <f>IF(AND(E120&lt;&gt;"",F120&lt;&gt;""),E120*F120,"")</f>
        <v/>
      </c>
      <c r="H120" s="8" t="n"/>
      <c r="I120" s="9" t="n"/>
    </row>
    <row r="121">
      <c r="A121" s="10" t="n"/>
      <c r="B121" s="11" t="n"/>
      <c r="C121" s="11">
        <f>IF(A121="","",TEXT(A121,"MMMM YYYY"))</f>
        <v/>
      </c>
      <c r="D121" s="11" t="n"/>
      <c r="E121" s="12" t="n"/>
      <c r="F121" s="13" t="n"/>
      <c r="G121" s="14">
        <f>IF(AND(E121&lt;&gt;"",F121&lt;&gt;""),E121*F121,"")</f>
        <v/>
      </c>
      <c r="H121" s="15" t="n"/>
      <c r="I121" s="16" t="n"/>
    </row>
    <row r="122">
      <c r="A122" s="3" t="n"/>
      <c r="B122" s="4" t="n"/>
      <c r="C122" s="4">
        <f>IF(A122="","",TEXT(A122,"MMMM YYYY"))</f>
        <v/>
      </c>
      <c r="D122" s="4" t="n"/>
      <c r="E122" s="5" t="n"/>
      <c r="F122" s="6" t="n"/>
      <c r="G122" s="7">
        <f>IF(AND(E122&lt;&gt;"",F122&lt;&gt;""),E122*F122,"")</f>
        <v/>
      </c>
      <c r="H122" s="8" t="n"/>
      <c r="I122" s="9" t="n"/>
    </row>
    <row r="123">
      <c r="A123" s="10" t="n"/>
      <c r="B123" s="11" t="n"/>
      <c r="C123" s="11">
        <f>IF(A123="","",TEXT(A123,"MMMM YYYY"))</f>
        <v/>
      </c>
      <c r="D123" s="11" t="n"/>
      <c r="E123" s="12" t="n"/>
      <c r="F123" s="13" t="n"/>
      <c r="G123" s="14">
        <f>IF(AND(E123&lt;&gt;"",F123&lt;&gt;""),E123*F123,"")</f>
        <v/>
      </c>
      <c r="H123" s="15" t="n"/>
      <c r="I123" s="16" t="n"/>
    </row>
    <row r="124">
      <c r="A124" s="3" t="n"/>
      <c r="B124" s="4" t="n"/>
      <c r="C124" s="4">
        <f>IF(A124="","",TEXT(A124,"MMMM YYYY"))</f>
        <v/>
      </c>
      <c r="D124" s="4" t="n"/>
      <c r="E124" s="5" t="n"/>
      <c r="F124" s="6" t="n"/>
      <c r="G124" s="7">
        <f>IF(AND(E124&lt;&gt;"",F124&lt;&gt;""),E124*F124,"")</f>
        <v/>
      </c>
      <c r="H124" s="8" t="n"/>
      <c r="I124" s="9" t="n"/>
    </row>
    <row r="125">
      <c r="A125" s="10" t="n"/>
      <c r="B125" s="11" t="n"/>
      <c r="C125" s="11">
        <f>IF(A125="","",TEXT(A125,"MMMM YYYY"))</f>
        <v/>
      </c>
      <c r="D125" s="11" t="n"/>
      <c r="E125" s="12" t="n"/>
      <c r="F125" s="13" t="n"/>
      <c r="G125" s="14">
        <f>IF(AND(E125&lt;&gt;"",F125&lt;&gt;""),E125*F125,"")</f>
        <v/>
      </c>
      <c r="H125" s="15" t="n"/>
      <c r="I125" s="16" t="n"/>
    </row>
    <row r="126">
      <c r="A126" s="3" t="n"/>
      <c r="B126" s="4" t="n"/>
      <c r="C126" s="4">
        <f>IF(A126="","",TEXT(A126,"MMMM YYYY"))</f>
        <v/>
      </c>
      <c r="D126" s="4" t="n"/>
      <c r="E126" s="5" t="n"/>
      <c r="F126" s="6" t="n"/>
      <c r="G126" s="7">
        <f>IF(AND(E126&lt;&gt;"",F126&lt;&gt;""),E126*F126,"")</f>
        <v/>
      </c>
      <c r="H126" s="8" t="n"/>
      <c r="I126" s="9" t="n"/>
    </row>
    <row r="127">
      <c r="A127" s="10" t="n"/>
      <c r="B127" s="11" t="n"/>
      <c r="C127" s="11">
        <f>IF(A127="","",TEXT(A127,"MMMM YYYY"))</f>
        <v/>
      </c>
      <c r="D127" s="11" t="n"/>
      <c r="E127" s="12" t="n"/>
      <c r="F127" s="13" t="n"/>
      <c r="G127" s="14">
        <f>IF(AND(E127&lt;&gt;"",F127&lt;&gt;""),E127*F127,"")</f>
        <v/>
      </c>
      <c r="H127" s="15" t="n"/>
      <c r="I127" s="16" t="n"/>
    </row>
    <row r="128">
      <c r="A128" s="3" t="n"/>
      <c r="B128" s="4" t="n"/>
      <c r="C128" s="4">
        <f>IF(A128="","",TEXT(A128,"MMMM YYYY"))</f>
        <v/>
      </c>
      <c r="D128" s="4" t="n"/>
      <c r="E128" s="5" t="n"/>
      <c r="F128" s="6" t="n"/>
      <c r="G128" s="7">
        <f>IF(AND(E128&lt;&gt;"",F128&lt;&gt;""),E128*F128,"")</f>
        <v/>
      </c>
      <c r="H128" s="8" t="n"/>
      <c r="I128" s="9" t="n"/>
    </row>
    <row r="129">
      <c r="A129" s="10" t="n"/>
      <c r="B129" s="11" t="n"/>
      <c r="C129" s="11">
        <f>IF(A129="","",TEXT(A129,"MMMM YYYY"))</f>
        <v/>
      </c>
      <c r="D129" s="11" t="n"/>
      <c r="E129" s="12" t="n"/>
      <c r="F129" s="13" t="n"/>
      <c r="G129" s="14">
        <f>IF(AND(E129&lt;&gt;"",F129&lt;&gt;""),E129*F129,"")</f>
        <v/>
      </c>
      <c r="H129" s="15" t="n"/>
      <c r="I129" s="16" t="n"/>
    </row>
    <row r="130">
      <c r="A130" s="3" t="n"/>
      <c r="B130" s="4" t="n"/>
      <c r="C130" s="4">
        <f>IF(A130="","",TEXT(A130,"MMMM YYYY"))</f>
        <v/>
      </c>
      <c r="D130" s="4" t="n"/>
      <c r="E130" s="5" t="n"/>
      <c r="F130" s="6" t="n"/>
      <c r="G130" s="7">
        <f>IF(AND(E130&lt;&gt;"",F130&lt;&gt;""),E130*F130,"")</f>
        <v/>
      </c>
      <c r="H130" s="8" t="n"/>
      <c r="I130" s="9" t="n"/>
    </row>
    <row r="131">
      <c r="A131" s="10" t="n"/>
      <c r="B131" s="11" t="n"/>
      <c r="C131" s="11">
        <f>IF(A131="","",TEXT(A131,"MMMM YYYY"))</f>
        <v/>
      </c>
      <c r="D131" s="11" t="n"/>
      <c r="E131" s="12" t="n"/>
      <c r="F131" s="13" t="n"/>
      <c r="G131" s="14">
        <f>IF(AND(E131&lt;&gt;"",F131&lt;&gt;""),E131*F131,"")</f>
        <v/>
      </c>
      <c r="H131" s="15" t="n"/>
      <c r="I131" s="16" t="n"/>
    </row>
    <row r="132">
      <c r="A132" s="3" t="n"/>
      <c r="B132" s="4" t="n"/>
      <c r="C132" s="4">
        <f>IF(A132="","",TEXT(A132,"MMMM YYYY"))</f>
        <v/>
      </c>
      <c r="D132" s="4" t="n"/>
      <c r="E132" s="5" t="n"/>
      <c r="F132" s="6" t="n"/>
      <c r="G132" s="7">
        <f>IF(AND(E132&lt;&gt;"",F132&lt;&gt;""),E132*F132,"")</f>
        <v/>
      </c>
      <c r="H132" s="8" t="n"/>
      <c r="I132" s="9" t="n"/>
    </row>
    <row r="133">
      <c r="A133" s="10" t="n"/>
      <c r="B133" s="11" t="n"/>
      <c r="C133" s="11">
        <f>IF(A133="","",TEXT(A133,"MMMM YYYY"))</f>
        <v/>
      </c>
      <c r="D133" s="11" t="n"/>
      <c r="E133" s="12" t="n"/>
      <c r="F133" s="13" t="n"/>
      <c r="G133" s="14">
        <f>IF(AND(E133&lt;&gt;"",F133&lt;&gt;""),E133*F133,"")</f>
        <v/>
      </c>
      <c r="H133" s="15" t="n"/>
      <c r="I133" s="16" t="n"/>
    </row>
    <row r="134">
      <c r="A134" s="3" t="n"/>
      <c r="B134" s="4" t="n"/>
      <c r="C134" s="4">
        <f>IF(A134="","",TEXT(A134,"MMMM YYYY"))</f>
        <v/>
      </c>
      <c r="D134" s="4" t="n"/>
      <c r="E134" s="5" t="n"/>
      <c r="F134" s="6" t="n"/>
      <c r="G134" s="7">
        <f>IF(AND(E134&lt;&gt;"",F134&lt;&gt;""),E134*F134,"")</f>
        <v/>
      </c>
      <c r="H134" s="8" t="n"/>
      <c r="I134" s="9" t="n"/>
    </row>
    <row r="135">
      <c r="A135" s="10" t="n"/>
      <c r="B135" s="11" t="n"/>
      <c r="C135" s="11">
        <f>IF(A135="","",TEXT(A135,"MMMM YYYY"))</f>
        <v/>
      </c>
      <c r="D135" s="11" t="n"/>
      <c r="E135" s="12" t="n"/>
      <c r="F135" s="13" t="n"/>
      <c r="G135" s="14">
        <f>IF(AND(E135&lt;&gt;"",F135&lt;&gt;""),E135*F135,"")</f>
        <v/>
      </c>
      <c r="H135" s="15" t="n"/>
      <c r="I135" s="16" t="n"/>
    </row>
    <row r="136">
      <c r="A136" s="3" t="n"/>
      <c r="B136" s="4" t="n"/>
      <c r="C136" s="4">
        <f>IF(A136="","",TEXT(A136,"MMMM YYYY"))</f>
        <v/>
      </c>
      <c r="D136" s="4" t="n"/>
      <c r="E136" s="5" t="n"/>
      <c r="F136" s="6" t="n"/>
      <c r="G136" s="7">
        <f>IF(AND(E136&lt;&gt;"",F136&lt;&gt;""),E136*F136,"")</f>
        <v/>
      </c>
      <c r="H136" s="8" t="n"/>
      <c r="I136" s="9" t="n"/>
    </row>
    <row r="137">
      <c r="A137" s="10" t="n"/>
      <c r="B137" s="11" t="n"/>
      <c r="C137" s="11">
        <f>IF(A137="","",TEXT(A137,"MMMM YYYY"))</f>
        <v/>
      </c>
      <c r="D137" s="11" t="n"/>
      <c r="E137" s="12" t="n"/>
      <c r="F137" s="13" t="n"/>
      <c r="G137" s="14">
        <f>IF(AND(E137&lt;&gt;"",F137&lt;&gt;""),E137*F137,"")</f>
        <v/>
      </c>
      <c r="H137" s="15" t="n"/>
      <c r="I137" s="16" t="n"/>
    </row>
    <row r="138">
      <c r="A138" s="3" t="n"/>
      <c r="B138" s="4" t="n"/>
      <c r="C138" s="4">
        <f>IF(A138="","",TEXT(A138,"MMMM YYYY"))</f>
        <v/>
      </c>
      <c r="D138" s="4" t="n"/>
      <c r="E138" s="5" t="n"/>
      <c r="F138" s="6" t="n"/>
      <c r="G138" s="7">
        <f>IF(AND(E138&lt;&gt;"",F138&lt;&gt;""),E138*F138,"")</f>
        <v/>
      </c>
      <c r="H138" s="8" t="n"/>
      <c r="I138" s="9" t="n"/>
    </row>
    <row r="139">
      <c r="A139" s="10" t="n"/>
      <c r="B139" s="11" t="n"/>
      <c r="C139" s="11">
        <f>IF(A139="","",TEXT(A139,"MMMM YYYY"))</f>
        <v/>
      </c>
      <c r="D139" s="11" t="n"/>
      <c r="E139" s="12" t="n"/>
      <c r="F139" s="13" t="n"/>
      <c r="G139" s="14">
        <f>IF(AND(E139&lt;&gt;"",F139&lt;&gt;""),E139*F139,"")</f>
        <v/>
      </c>
      <c r="H139" s="15" t="n"/>
      <c r="I139" s="16" t="n"/>
    </row>
    <row r="140">
      <c r="A140" s="3" t="n"/>
      <c r="B140" s="4" t="n"/>
      <c r="C140" s="4">
        <f>IF(A140="","",TEXT(A140,"MMMM YYYY"))</f>
        <v/>
      </c>
      <c r="D140" s="4" t="n"/>
      <c r="E140" s="5" t="n"/>
      <c r="F140" s="6" t="n"/>
      <c r="G140" s="7">
        <f>IF(AND(E140&lt;&gt;"",F140&lt;&gt;""),E140*F140,"")</f>
        <v/>
      </c>
      <c r="H140" s="8" t="n"/>
      <c r="I140" s="9" t="n"/>
    </row>
    <row r="141">
      <c r="A141" s="10" t="n"/>
      <c r="B141" s="11" t="n"/>
      <c r="C141" s="11">
        <f>IF(A141="","",TEXT(A141,"MMMM YYYY"))</f>
        <v/>
      </c>
      <c r="D141" s="11" t="n"/>
      <c r="E141" s="12" t="n"/>
      <c r="F141" s="13" t="n"/>
      <c r="G141" s="14">
        <f>IF(AND(E141&lt;&gt;"",F141&lt;&gt;""),E141*F141,"")</f>
        <v/>
      </c>
      <c r="H141" s="15" t="n"/>
      <c r="I141" s="16" t="n"/>
    </row>
    <row r="142">
      <c r="A142" s="3" t="n"/>
      <c r="B142" s="4" t="n"/>
      <c r="C142" s="4">
        <f>IF(A142="","",TEXT(A142,"MMMM YYYY"))</f>
        <v/>
      </c>
      <c r="D142" s="4" t="n"/>
      <c r="E142" s="5" t="n"/>
      <c r="F142" s="6" t="n"/>
      <c r="G142" s="7">
        <f>IF(AND(E142&lt;&gt;"",F142&lt;&gt;""),E142*F142,"")</f>
        <v/>
      </c>
      <c r="H142" s="8" t="n"/>
      <c r="I142" s="9" t="n"/>
    </row>
    <row r="143">
      <c r="A143" s="10" t="n"/>
      <c r="B143" s="11" t="n"/>
      <c r="C143" s="11">
        <f>IF(A143="","",TEXT(A143,"MMMM YYYY"))</f>
        <v/>
      </c>
      <c r="D143" s="11" t="n"/>
      <c r="E143" s="12" t="n"/>
      <c r="F143" s="13" t="n"/>
      <c r="G143" s="14">
        <f>IF(AND(E143&lt;&gt;"",F143&lt;&gt;""),E143*F143,"")</f>
        <v/>
      </c>
      <c r="H143" s="15" t="n"/>
      <c r="I143" s="16" t="n"/>
    </row>
    <row r="144">
      <c r="A144" s="3" t="n"/>
      <c r="B144" s="4" t="n"/>
      <c r="C144" s="4">
        <f>IF(A144="","",TEXT(A144,"MMMM YYYY"))</f>
        <v/>
      </c>
      <c r="D144" s="4" t="n"/>
      <c r="E144" s="5" t="n"/>
      <c r="F144" s="6" t="n"/>
      <c r="G144" s="7">
        <f>IF(AND(E144&lt;&gt;"",F144&lt;&gt;""),E144*F144,"")</f>
        <v/>
      </c>
      <c r="H144" s="8" t="n"/>
      <c r="I144" s="9" t="n"/>
    </row>
    <row r="145">
      <c r="A145" s="10" t="n"/>
      <c r="B145" s="11" t="n"/>
      <c r="C145" s="11">
        <f>IF(A145="","",TEXT(A145,"MMMM YYYY"))</f>
        <v/>
      </c>
      <c r="D145" s="11" t="n"/>
      <c r="E145" s="12" t="n"/>
      <c r="F145" s="13" t="n"/>
      <c r="G145" s="14">
        <f>IF(AND(E145&lt;&gt;"",F145&lt;&gt;""),E145*F145,"")</f>
        <v/>
      </c>
      <c r="H145" s="15" t="n"/>
      <c r="I145" s="16" t="n"/>
    </row>
    <row r="146">
      <c r="A146" s="3" t="n"/>
      <c r="B146" s="4" t="n"/>
      <c r="C146" s="4">
        <f>IF(A146="","",TEXT(A146,"MMMM YYYY"))</f>
        <v/>
      </c>
      <c r="D146" s="4" t="n"/>
      <c r="E146" s="5" t="n"/>
      <c r="F146" s="6" t="n"/>
      <c r="G146" s="7">
        <f>IF(AND(E146&lt;&gt;"",F146&lt;&gt;""),E146*F146,"")</f>
        <v/>
      </c>
      <c r="H146" s="8" t="n"/>
      <c r="I146" s="9" t="n"/>
    </row>
    <row r="147">
      <c r="A147" s="10" t="n"/>
      <c r="B147" s="11" t="n"/>
      <c r="C147" s="11">
        <f>IF(A147="","",TEXT(A147,"MMMM YYYY"))</f>
        <v/>
      </c>
      <c r="D147" s="11" t="n"/>
      <c r="E147" s="12" t="n"/>
      <c r="F147" s="13" t="n"/>
      <c r="G147" s="14">
        <f>IF(AND(E147&lt;&gt;"",F147&lt;&gt;""),E147*F147,"")</f>
        <v/>
      </c>
      <c r="H147" s="15" t="n"/>
      <c r="I147" s="16" t="n"/>
    </row>
    <row r="148">
      <c r="A148" s="3" t="n"/>
      <c r="B148" s="4" t="n"/>
      <c r="C148" s="4">
        <f>IF(A148="","",TEXT(A148,"MMMM YYYY"))</f>
        <v/>
      </c>
      <c r="D148" s="4" t="n"/>
      <c r="E148" s="5" t="n"/>
      <c r="F148" s="6" t="n"/>
      <c r="G148" s="7">
        <f>IF(AND(E148&lt;&gt;"",F148&lt;&gt;""),E148*F148,"")</f>
        <v/>
      </c>
      <c r="H148" s="8" t="n"/>
      <c r="I148" s="9" t="n"/>
    </row>
    <row r="149">
      <c r="A149" s="10" t="n"/>
      <c r="B149" s="11" t="n"/>
      <c r="C149" s="11">
        <f>IF(A149="","",TEXT(A149,"MMMM YYYY"))</f>
        <v/>
      </c>
      <c r="D149" s="11" t="n"/>
      <c r="E149" s="12" t="n"/>
      <c r="F149" s="13" t="n"/>
      <c r="G149" s="14">
        <f>IF(AND(E149&lt;&gt;"",F149&lt;&gt;""),E149*F149,"")</f>
        <v/>
      </c>
      <c r="H149" s="15" t="n"/>
      <c r="I149" s="16" t="n"/>
    </row>
    <row r="150">
      <c r="A150" s="3" t="n"/>
      <c r="B150" s="4" t="n"/>
      <c r="C150" s="4">
        <f>IF(A150="","",TEXT(A150,"MMMM YYYY"))</f>
        <v/>
      </c>
      <c r="D150" s="4" t="n"/>
      <c r="E150" s="5" t="n"/>
      <c r="F150" s="6" t="n"/>
      <c r="G150" s="7">
        <f>IF(AND(E150&lt;&gt;"",F150&lt;&gt;""),E150*F150,"")</f>
        <v/>
      </c>
      <c r="H150" s="8" t="n"/>
      <c r="I150" s="9" t="n"/>
    </row>
    <row r="151">
      <c r="A151" s="10" t="n"/>
      <c r="B151" s="11" t="n"/>
      <c r="C151" s="11">
        <f>IF(A151="","",TEXT(A151,"MMMM YYYY"))</f>
        <v/>
      </c>
      <c r="D151" s="11" t="n"/>
      <c r="E151" s="12" t="n"/>
      <c r="F151" s="13" t="n"/>
      <c r="G151" s="14">
        <f>IF(AND(E151&lt;&gt;"",F151&lt;&gt;""),E151*F151,"")</f>
        <v/>
      </c>
      <c r="H151" s="15" t="n"/>
      <c r="I151" s="16" t="n"/>
    </row>
    <row r="152">
      <c r="A152" s="3" t="n"/>
      <c r="B152" s="4" t="n"/>
      <c r="C152" s="4">
        <f>IF(A152="","",TEXT(A152,"MMMM YYYY"))</f>
        <v/>
      </c>
      <c r="D152" s="4" t="n"/>
      <c r="E152" s="5" t="n"/>
      <c r="F152" s="6" t="n"/>
      <c r="G152" s="7">
        <f>IF(AND(E152&lt;&gt;"",F152&lt;&gt;""),E152*F152,"")</f>
        <v/>
      </c>
      <c r="H152" s="8" t="n"/>
      <c r="I152" s="9" t="n"/>
    </row>
    <row r="153">
      <c r="A153" s="10" t="n"/>
      <c r="B153" s="11" t="n"/>
      <c r="C153" s="11">
        <f>IF(A153="","",TEXT(A153,"MMMM YYYY"))</f>
        <v/>
      </c>
      <c r="D153" s="11" t="n"/>
      <c r="E153" s="12" t="n"/>
      <c r="F153" s="13" t="n"/>
      <c r="G153" s="14">
        <f>IF(AND(E153&lt;&gt;"",F153&lt;&gt;""),E153*F153,"")</f>
        <v/>
      </c>
      <c r="H153" s="15" t="n"/>
      <c r="I153" s="16" t="n"/>
    </row>
    <row r="154">
      <c r="A154" s="3" t="n"/>
      <c r="B154" s="4" t="n"/>
      <c r="C154" s="4">
        <f>IF(A154="","",TEXT(A154,"MMMM YYYY"))</f>
        <v/>
      </c>
      <c r="D154" s="4" t="n"/>
      <c r="E154" s="5" t="n"/>
      <c r="F154" s="6" t="n"/>
      <c r="G154" s="7">
        <f>IF(AND(E154&lt;&gt;"",F154&lt;&gt;""),E154*F154,"")</f>
        <v/>
      </c>
      <c r="H154" s="8" t="n"/>
      <c r="I154" s="9" t="n"/>
    </row>
    <row r="155">
      <c r="A155" s="10" t="n"/>
      <c r="B155" s="11" t="n"/>
      <c r="C155" s="11">
        <f>IF(A155="","",TEXT(A155,"MMMM YYYY"))</f>
        <v/>
      </c>
      <c r="D155" s="11" t="n"/>
      <c r="E155" s="12" t="n"/>
      <c r="F155" s="13" t="n"/>
      <c r="G155" s="14">
        <f>IF(AND(E155&lt;&gt;"",F155&lt;&gt;""),E155*F155,"")</f>
        <v/>
      </c>
      <c r="H155" s="15" t="n"/>
      <c r="I155" s="16" t="n"/>
    </row>
    <row r="156">
      <c r="A156" s="3" t="n"/>
      <c r="B156" s="4" t="n"/>
      <c r="C156" s="4">
        <f>IF(A156="","",TEXT(A156,"MMMM YYYY"))</f>
        <v/>
      </c>
      <c r="D156" s="4" t="n"/>
      <c r="E156" s="5" t="n"/>
      <c r="F156" s="6" t="n"/>
      <c r="G156" s="7">
        <f>IF(AND(E156&lt;&gt;"",F156&lt;&gt;""),E156*F156,"")</f>
        <v/>
      </c>
      <c r="H156" s="8" t="n"/>
      <c r="I156" s="9" t="n"/>
    </row>
    <row r="157">
      <c r="A157" s="10" t="n"/>
      <c r="B157" s="11" t="n"/>
      <c r="C157" s="11">
        <f>IF(A157="","",TEXT(A157,"MMMM YYYY"))</f>
        <v/>
      </c>
      <c r="D157" s="11" t="n"/>
      <c r="E157" s="12" t="n"/>
      <c r="F157" s="13" t="n"/>
      <c r="G157" s="14">
        <f>IF(AND(E157&lt;&gt;"",F157&lt;&gt;""),E157*F157,"")</f>
        <v/>
      </c>
      <c r="H157" s="15" t="n"/>
      <c r="I157" s="16" t="n"/>
    </row>
    <row r="158">
      <c r="A158" s="3" t="n"/>
      <c r="B158" s="4" t="n"/>
      <c r="C158" s="4">
        <f>IF(A158="","",TEXT(A158,"MMMM YYYY"))</f>
        <v/>
      </c>
      <c r="D158" s="4" t="n"/>
      <c r="E158" s="5" t="n"/>
      <c r="F158" s="6" t="n"/>
      <c r="G158" s="7">
        <f>IF(AND(E158&lt;&gt;"",F158&lt;&gt;""),E158*F158,"")</f>
        <v/>
      </c>
      <c r="H158" s="8" t="n"/>
      <c r="I158" s="9" t="n"/>
    </row>
    <row r="159">
      <c r="A159" s="10" t="n"/>
      <c r="B159" s="11" t="n"/>
      <c r="C159" s="11">
        <f>IF(A159="","",TEXT(A159,"MMMM YYYY"))</f>
        <v/>
      </c>
      <c r="D159" s="11" t="n"/>
      <c r="E159" s="12" t="n"/>
      <c r="F159" s="13" t="n"/>
      <c r="G159" s="14">
        <f>IF(AND(E159&lt;&gt;"",F159&lt;&gt;""),E159*F159,"")</f>
        <v/>
      </c>
      <c r="H159" s="15" t="n"/>
      <c r="I159" s="16" t="n"/>
    </row>
    <row r="160">
      <c r="A160" s="3" t="n"/>
      <c r="B160" s="4" t="n"/>
      <c r="C160" s="4">
        <f>IF(A160="","",TEXT(A160,"MMMM YYYY"))</f>
        <v/>
      </c>
      <c r="D160" s="4" t="n"/>
      <c r="E160" s="5" t="n"/>
      <c r="F160" s="6" t="n"/>
      <c r="G160" s="7">
        <f>IF(AND(E160&lt;&gt;"",F160&lt;&gt;""),E160*F160,"")</f>
        <v/>
      </c>
      <c r="H160" s="8" t="n"/>
      <c r="I160" s="9" t="n"/>
    </row>
    <row r="161">
      <c r="A161" s="10" t="n"/>
      <c r="B161" s="11" t="n"/>
      <c r="C161" s="11">
        <f>IF(A161="","",TEXT(A161,"MMMM YYYY"))</f>
        <v/>
      </c>
      <c r="D161" s="11" t="n"/>
      <c r="E161" s="12" t="n"/>
      <c r="F161" s="13" t="n"/>
      <c r="G161" s="14">
        <f>IF(AND(E161&lt;&gt;"",F161&lt;&gt;""),E161*F161,"")</f>
        <v/>
      </c>
      <c r="H161" s="15" t="n"/>
      <c r="I161" s="16" t="n"/>
    </row>
    <row r="162">
      <c r="A162" s="3" t="n"/>
      <c r="B162" s="4" t="n"/>
      <c r="C162" s="4">
        <f>IF(A162="","",TEXT(A162,"MMMM YYYY"))</f>
        <v/>
      </c>
      <c r="D162" s="4" t="n"/>
      <c r="E162" s="5" t="n"/>
      <c r="F162" s="6" t="n"/>
      <c r="G162" s="7">
        <f>IF(AND(E162&lt;&gt;"",F162&lt;&gt;""),E162*F162,"")</f>
        <v/>
      </c>
      <c r="H162" s="8" t="n"/>
      <c r="I162" s="9" t="n"/>
    </row>
    <row r="163">
      <c r="A163" s="10" t="n"/>
      <c r="B163" s="11" t="n"/>
      <c r="C163" s="11">
        <f>IF(A163="","",TEXT(A163,"MMMM YYYY"))</f>
        <v/>
      </c>
      <c r="D163" s="11" t="n"/>
      <c r="E163" s="12" t="n"/>
      <c r="F163" s="13" t="n"/>
      <c r="G163" s="14">
        <f>IF(AND(E163&lt;&gt;"",F163&lt;&gt;""),E163*F163,"")</f>
        <v/>
      </c>
      <c r="H163" s="15" t="n"/>
      <c r="I163" s="16" t="n"/>
    </row>
    <row r="164">
      <c r="A164" s="3" t="n"/>
      <c r="B164" s="4" t="n"/>
      <c r="C164" s="4">
        <f>IF(A164="","",TEXT(A164,"MMMM YYYY"))</f>
        <v/>
      </c>
      <c r="D164" s="4" t="n"/>
      <c r="E164" s="5" t="n"/>
      <c r="F164" s="6" t="n"/>
      <c r="G164" s="7">
        <f>IF(AND(E164&lt;&gt;"",F164&lt;&gt;""),E164*F164,"")</f>
        <v/>
      </c>
      <c r="H164" s="8" t="n"/>
      <c r="I164" s="9" t="n"/>
    </row>
    <row r="165">
      <c r="A165" s="10" t="n"/>
      <c r="B165" s="11" t="n"/>
      <c r="C165" s="11">
        <f>IF(A165="","",TEXT(A165,"MMMM YYYY"))</f>
        <v/>
      </c>
      <c r="D165" s="11" t="n"/>
      <c r="E165" s="12" t="n"/>
      <c r="F165" s="13" t="n"/>
      <c r="G165" s="14">
        <f>IF(AND(E165&lt;&gt;"",F165&lt;&gt;""),E165*F165,"")</f>
        <v/>
      </c>
      <c r="H165" s="15" t="n"/>
      <c r="I165" s="16" t="n"/>
    </row>
    <row r="166">
      <c r="A166" s="3" t="n"/>
      <c r="B166" s="4" t="n"/>
      <c r="C166" s="4">
        <f>IF(A166="","",TEXT(A166,"MMMM YYYY"))</f>
        <v/>
      </c>
      <c r="D166" s="4" t="n"/>
      <c r="E166" s="5" t="n"/>
      <c r="F166" s="6" t="n"/>
      <c r="G166" s="7">
        <f>IF(AND(E166&lt;&gt;"",F166&lt;&gt;""),E166*F166,"")</f>
        <v/>
      </c>
      <c r="H166" s="8" t="n"/>
      <c r="I166" s="9" t="n"/>
    </row>
    <row r="167">
      <c r="A167" s="10" t="n"/>
      <c r="B167" s="11" t="n"/>
      <c r="C167" s="11">
        <f>IF(A167="","",TEXT(A167,"MMMM YYYY"))</f>
        <v/>
      </c>
      <c r="D167" s="11" t="n"/>
      <c r="E167" s="12" t="n"/>
      <c r="F167" s="13" t="n"/>
      <c r="G167" s="14">
        <f>IF(AND(E167&lt;&gt;"",F167&lt;&gt;""),E167*F167,"")</f>
        <v/>
      </c>
      <c r="H167" s="15" t="n"/>
      <c r="I167" s="16" t="n"/>
    </row>
    <row r="168">
      <c r="A168" s="3" t="n"/>
      <c r="B168" s="4" t="n"/>
      <c r="C168" s="4">
        <f>IF(A168="","",TEXT(A168,"MMMM YYYY"))</f>
        <v/>
      </c>
      <c r="D168" s="4" t="n"/>
      <c r="E168" s="5" t="n"/>
      <c r="F168" s="6" t="n"/>
      <c r="G168" s="7">
        <f>IF(AND(E168&lt;&gt;"",F168&lt;&gt;""),E168*F168,"")</f>
        <v/>
      </c>
      <c r="H168" s="8" t="n"/>
      <c r="I168" s="9" t="n"/>
    </row>
    <row r="169">
      <c r="A169" s="10" t="n"/>
      <c r="B169" s="11" t="n"/>
      <c r="C169" s="11">
        <f>IF(A169="","",TEXT(A169,"MMMM YYYY"))</f>
        <v/>
      </c>
      <c r="D169" s="11" t="n"/>
      <c r="E169" s="12" t="n"/>
      <c r="F169" s="13" t="n"/>
      <c r="G169" s="14">
        <f>IF(AND(E169&lt;&gt;"",F169&lt;&gt;""),E169*F169,"")</f>
        <v/>
      </c>
      <c r="H169" s="15" t="n"/>
      <c r="I169" s="16" t="n"/>
    </row>
    <row r="170">
      <c r="A170" s="3" t="n"/>
      <c r="B170" s="4" t="n"/>
      <c r="C170" s="4">
        <f>IF(A170="","",TEXT(A170,"MMMM YYYY"))</f>
        <v/>
      </c>
      <c r="D170" s="4" t="n"/>
      <c r="E170" s="5" t="n"/>
      <c r="F170" s="6" t="n"/>
      <c r="G170" s="7">
        <f>IF(AND(E170&lt;&gt;"",F170&lt;&gt;""),E170*F170,"")</f>
        <v/>
      </c>
      <c r="H170" s="8" t="n"/>
      <c r="I170" s="9" t="n"/>
    </row>
    <row r="171">
      <c r="A171" s="10" t="n"/>
      <c r="B171" s="11" t="n"/>
      <c r="C171" s="11">
        <f>IF(A171="","",TEXT(A171,"MMMM YYYY"))</f>
        <v/>
      </c>
      <c r="D171" s="11" t="n"/>
      <c r="E171" s="12" t="n"/>
      <c r="F171" s="13" t="n"/>
      <c r="G171" s="14">
        <f>IF(AND(E171&lt;&gt;"",F171&lt;&gt;""),E171*F171,"")</f>
        <v/>
      </c>
      <c r="H171" s="15" t="n"/>
      <c r="I171" s="16" t="n"/>
    </row>
    <row r="172">
      <c r="A172" s="3" t="n"/>
      <c r="B172" s="4" t="n"/>
      <c r="C172" s="4">
        <f>IF(A172="","",TEXT(A172,"MMMM YYYY"))</f>
        <v/>
      </c>
      <c r="D172" s="4" t="n"/>
      <c r="E172" s="5" t="n"/>
      <c r="F172" s="6" t="n"/>
      <c r="G172" s="7">
        <f>IF(AND(E172&lt;&gt;"",F172&lt;&gt;""),E172*F172,"")</f>
        <v/>
      </c>
      <c r="H172" s="8" t="n"/>
      <c r="I172" s="9" t="n"/>
    </row>
    <row r="173">
      <c r="A173" s="10" t="n"/>
      <c r="B173" s="11" t="n"/>
      <c r="C173" s="11">
        <f>IF(A173="","",TEXT(A173,"MMMM YYYY"))</f>
        <v/>
      </c>
      <c r="D173" s="11" t="n"/>
      <c r="E173" s="12" t="n"/>
      <c r="F173" s="13" t="n"/>
      <c r="G173" s="14">
        <f>IF(AND(E173&lt;&gt;"",F173&lt;&gt;""),E173*F173,"")</f>
        <v/>
      </c>
      <c r="H173" s="15" t="n"/>
      <c r="I173" s="16" t="n"/>
    </row>
    <row r="174">
      <c r="A174" s="3" t="n"/>
      <c r="B174" s="4" t="n"/>
      <c r="C174" s="4">
        <f>IF(A174="","",TEXT(A174,"MMMM YYYY"))</f>
        <v/>
      </c>
      <c r="D174" s="4" t="n"/>
      <c r="E174" s="5" t="n"/>
      <c r="F174" s="6" t="n"/>
      <c r="G174" s="7">
        <f>IF(AND(E174&lt;&gt;"",F174&lt;&gt;""),E174*F174,"")</f>
        <v/>
      </c>
      <c r="H174" s="8" t="n"/>
      <c r="I174" s="9" t="n"/>
    </row>
    <row r="175">
      <c r="A175" s="10" t="n"/>
      <c r="B175" s="11" t="n"/>
      <c r="C175" s="11">
        <f>IF(A175="","",TEXT(A175,"MMMM YYYY"))</f>
        <v/>
      </c>
      <c r="D175" s="11" t="n"/>
      <c r="E175" s="12" t="n"/>
      <c r="F175" s="13" t="n"/>
      <c r="G175" s="14">
        <f>IF(AND(E175&lt;&gt;"",F175&lt;&gt;""),E175*F175,"")</f>
        <v/>
      </c>
      <c r="H175" s="15" t="n"/>
      <c r="I175" s="16" t="n"/>
    </row>
    <row r="176">
      <c r="A176" s="3" t="n"/>
      <c r="B176" s="4" t="n"/>
      <c r="C176" s="4">
        <f>IF(A176="","",TEXT(A176,"MMMM YYYY"))</f>
        <v/>
      </c>
      <c r="D176" s="4" t="n"/>
      <c r="E176" s="5" t="n"/>
      <c r="F176" s="6" t="n"/>
      <c r="G176" s="7">
        <f>IF(AND(E176&lt;&gt;"",F176&lt;&gt;""),E176*F176,"")</f>
        <v/>
      </c>
      <c r="H176" s="8" t="n"/>
      <c r="I176" s="9" t="n"/>
    </row>
    <row r="177">
      <c r="A177" s="10" t="n"/>
      <c r="B177" s="11" t="n"/>
      <c r="C177" s="11">
        <f>IF(A177="","",TEXT(A177,"MMMM YYYY"))</f>
        <v/>
      </c>
      <c r="D177" s="11" t="n"/>
      <c r="E177" s="12" t="n"/>
      <c r="F177" s="13" t="n"/>
      <c r="G177" s="14">
        <f>IF(AND(E177&lt;&gt;"",F177&lt;&gt;""),E177*F177,"")</f>
        <v/>
      </c>
      <c r="H177" s="15" t="n"/>
      <c r="I177" s="16" t="n"/>
    </row>
    <row r="178">
      <c r="A178" s="3" t="n"/>
      <c r="B178" s="4" t="n"/>
      <c r="C178" s="4">
        <f>IF(A178="","",TEXT(A178,"MMMM YYYY"))</f>
        <v/>
      </c>
      <c r="D178" s="4" t="n"/>
      <c r="E178" s="5" t="n"/>
      <c r="F178" s="6" t="n"/>
      <c r="G178" s="7">
        <f>IF(AND(E178&lt;&gt;"",F178&lt;&gt;""),E178*F178,"")</f>
        <v/>
      </c>
      <c r="H178" s="8" t="n"/>
      <c r="I178" s="9" t="n"/>
    </row>
    <row r="179">
      <c r="A179" s="10" t="n"/>
      <c r="B179" s="11" t="n"/>
      <c r="C179" s="11">
        <f>IF(A179="","",TEXT(A179,"MMMM YYYY"))</f>
        <v/>
      </c>
      <c r="D179" s="11" t="n"/>
      <c r="E179" s="12" t="n"/>
      <c r="F179" s="13" t="n"/>
      <c r="G179" s="14">
        <f>IF(AND(E179&lt;&gt;"",F179&lt;&gt;""),E179*F179,"")</f>
        <v/>
      </c>
      <c r="H179" s="15" t="n"/>
      <c r="I179" s="16" t="n"/>
    </row>
    <row r="180">
      <c r="A180" s="3" t="n"/>
      <c r="B180" s="4" t="n"/>
      <c r="C180" s="4">
        <f>IF(A180="","",TEXT(A180,"MMMM YYYY"))</f>
        <v/>
      </c>
      <c r="D180" s="4" t="n"/>
      <c r="E180" s="5" t="n"/>
      <c r="F180" s="6" t="n"/>
      <c r="G180" s="7">
        <f>IF(AND(E180&lt;&gt;"",F180&lt;&gt;""),E180*F180,"")</f>
        <v/>
      </c>
      <c r="H180" s="8" t="n"/>
      <c r="I180" s="9" t="n"/>
    </row>
    <row r="181">
      <c r="A181" s="10" t="n"/>
      <c r="B181" s="11" t="n"/>
      <c r="C181" s="11">
        <f>IF(A181="","",TEXT(A181,"MMMM YYYY"))</f>
        <v/>
      </c>
      <c r="D181" s="11" t="n"/>
      <c r="E181" s="12" t="n"/>
      <c r="F181" s="13" t="n"/>
      <c r="G181" s="14">
        <f>IF(AND(E181&lt;&gt;"",F181&lt;&gt;""),E181*F181,"")</f>
        <v/>
      </c>
      <c r="H181" s="15" t="n"/>
      <c r="I181" s="16" t="n"/>
    </row>
    <row r="182">
      <c r="A182" s="3" t="n"/>
      <c r="B182" s="4" t="n"/>
      <c r="C182" s="4">
        <f>IF(A182="","",TEXT(A182,"MMMM YYYY"))</f>
        <v/>
      </c>
      <c r="D182" s="4" t="n"/>
      <c r="E182" s="5" t="n"/>
      <c r="F182" s="6" t="n"/>
      <c r="G182" s="7">
        <f>IF(AND(E182&lt;&gt;"",F182&lt;&gt;""),E182*F182,"")</f>
        <v/>
      </c>
      <c r="H182" s="8" t="n"/>
      <c r="I182" s="9" t="n"/>
    </row>
    <row r="183">
      <c r="A183" s="10" t="n"/>
      <c r="B183" s="11" t="n"/>
      <c r="C183" s="11">
        <f>IF(A183="","",TEXT(A183,"MMMM YYYY"))</f>
        <v/>
      </c>
      <c r="D183" s="11" t="n"/>
      <c r="E183" s="12" t="n"/>
      <c r="F183" s="13" t="n"/>
      <c r="G183" s="14">
        <f>IF(AND(E183&lt;&gt;"",F183&lt;&gt;""),E183*F183,"")</f>
        <v/>
      </c>
      <c r="H183" s="15" t="n"/>
      <c r="I183" s="16" t="n"/>
    </row>
    <row r="184">
      <c r="A184" s="3" t="n"/>
      <c r="B184" s="4" t="n"/>
      <c r="C184" s="4">
        <f>IF(A184="","",TEXT(A184,"MMMM YYYY"))</f>
        <v/>
      </c>
      <c r="D184" s="4" t="n"/>
      <c r="E184" s="5" t="n"/>
      <c r="F184" s="6" t="n"/>
      <c r="G184" s="7">
        <f>IF(AND(E184&lt;&gt;"",F184&lt;&gt;""),E184*F184,"")</f>
        <v/>
      </c>
      <c r="H184" s="8" t="n"/>
      <c r="I184" s="9" t="n"/>
    </row>
    <row r="185">
      <c r="A185" s="10" t="n"/>
      <c r="B185" s="11" t="n"/>
      <c r="C185" s="11">
        <f>IF(A185="","",TEXT(A185,"MMMM YYYY"))</f>
        <v/>
      </c>
      <c r="D185" s="11" t="n"/>
      <c r="E185" s="12" t="n"/>
      <c r="F185" s="13" t="n"/>
      <c r="G185" s="14">
        <f>IF(AND(E185&lt;&gt;"",F185&lt;&gt;""),E185*F185,"")</f>
        <v/>
      </c>
      <c r="H185" s="15" t="n"/>
      <c r="I185" s="16" t="n"/>
    </row>
    <row r="186">
      <c r="A186" s="3" t="n"/>
      <c r="B186" s="4" t="n"/>
      <c r="C186" s="4">
        <f>IF(A186="","",TEXT(A186,"MMMM YYYY"))</f>
        <v/>
      </c>
      <c r="D186" s="4" t="n"/>
      <c r="E186" s="5" t="n"/>
      <c r="F186" s="6" t="n"/>
      <c r="G186" s="7">
        <f>IF(AND(E186&lt;&gt;"",F186&lt;&gt;""),E186*F186,"")</f>
        <v/>
      </c>
      <c r="H186" s="8" t="n"/>
      <c r="I186" s="9" t="n"/>
    </row>
    <row r="187">
      <c r="A187" s="10" t="n"/>
      <c r="B187" s="11" t="n"/>
      <c r="C187" s="11">
        <f>IF(A187="","",TEXT(A187,"MMMM YYYY"))</f>
        <v/>
      </c>
      <c r="D187" s="11" t="n"/>
      <c r="E187" s="12" t="n"/>
      <c r="F187" s="13" t="n"/>
      <c r="G187" s="14">
        <f>IF(AND(E187&lt;&gt;"",F187&lt;&gt;""),E187*F187,"")</f>
        <v/>
      </c>
      <c r="H187" s="15" t="n"/>
      <c r="I187" s="16" t="n"/>
    </row>
    <row r="188">
      <c r="A188" s="3" t="n"/>
      <c r="B188" s="4" t="n"/>
      <c r="C188" s="4">
        <f>IF(A188="","",TEXT(A188,"MMMM YYYY"))</f>
        <v/>
      </c>
      <c r="D188" s="4" t="n"/>
      <c r="E188" s="5" t="n"/>
      <c r="F188" s="6" t="n"/>
      <c r="G188" s="7">
        <f>IF(AND(E188&lt;&gt;"",F188&lt;&gt;""),E188*F188,"")</f>
        <v/>
      </c>
      <c r="H188" s="8" t="n"/>
      <c r="I188" s="9" t="n"/>
    </row>
    <row r="189">
      <c r="A189" s="10" t="n"/>
      <c r="B189" s="11" t="n"/>
      <c r="C189" s="11">
        <f>IF(A189="","",TEXT(A189,"MMMM YYYY"))</f>
        <v/>
      </c>
      <c r="D189" s="11" t="n"/>
      <c r="E189" s="12" t="n"/>
      <c r="F189" s="13" t="n"/>
      <c r="G189" s="14">
        <f>IF(AND(E189&lt;&gt;"",F189&lt;&gt;""),E189*F189,"")</f>
        <v/>
      </c>
      <c r="H189" s="15" t="n"/>
      <c r="I189" s="16" t="n"/>
    </row>
    <row r="190">
      <c r="A190" s="3" t="n"/>
      <c r="B190" s="4" t="n"/>
      <c r="C190" s="4">
        <f>IF(A190="","",TEXT(A190,"MMMM YYYY"))</f>
        <v/>
      </c>
      <c r="D190" s="4" t="n"/>
      <c r="E190" s="5" t="n"/>
      <c r="F190" s="6" t="n"/>
      <c r="G190" s="7">
        <f>IF(AND(E190&lt;&gt;"",F190&lt;&gt;""),E190*F190,"")</f>
        <v/>
      </c>
      <c r="H190" s="8" t="n"/>
      <c r="I190" s="9" t="n"/>
    </row>
    <row r="191">
      <c r="A191" s="10" t="n"/>
      <c r="B191" s="11" t="n"/>
      <c r="C191" s="11">
        <f>IF(A191="","",TEXT(A191,"MMMM YYYY"))</f>
        <v/>
      </c>
      <c r="D191" s="11" t="n"/>
      <c r="E191" s="12" t="n"/>
      <c r="F191" s="13" t="n"/>
      <c r="G191" s="14">
        <f>IF(AND(E191&lt;&gt;"",F191&lt;&gt;""),E191*F191,"")</f>
        <v/>
      </c>
      <c r="H191" s="15" t="n"/>
      <c r="I191" s="16" t="n"/>
    </row>
    <row r="192">
      <c r="A192" s="3" t="n"/>
      <c r="B192" s="4" t="n"/>
      <c r="C192" s="4">
        <f>IF(A192="","",TEXT(A192,"MMMM YYYY"))</f>
        <v/>
      </c>
      <c r="D192" s="4" t="n"/>
      <c r="E192" s="5" t="n"/>
      <c r="F192" s="6" t="n"/>
      <c r="G192" s="7">
        <f>IF(AND(E192&lt;&gt;"",F192&lt;&gt;""),E192*F192,"")</f>
        <v/>
      </c>
      <c r="H192" s="8" t="n"/>
      <c r="I192" s="9" t="n"/>
    </row>
    <row r="193">
      <c r="A193" s="10" t="n"/>
      <c r="B193" s="11" t="n"/>
      <c r="C193" s="11">
        <f>IF(A193="","",TEXT(A193,"MMMM YYYY"))</f>
        <v/>
      </c>
      <c r="D193" s="11" t="n"/>
      <c r="E193" s="12" t="n"/>
      <c r="F193" s="13" t="n"/>
      <c r="G193" s="14">
        <f>IF(AND(E193&lt;&gt;"",F193&lt;&gt;""),E193*F193,"")</f>
        <v/>
      </c>
      <c r="H193" s="15" t="n"/>
      <c r="I193" s="16" t="n"/>
    </row>
    <row r="194">
      <c r="A194" s="3" t="n"/>
      <c r="B194" s="4" t="n"/>
      <c r="C194" s="4">
        <f>IF(A194="","",TEXT(A194,"MMMM YYYY"))</f>
        <v/>
      </c>
      <c r="D194" s="4" t="n"/>
      <c r="E194" s="5" t="n"/>
      <c r="F194" s="6" t="n"/>
      <c r="G194" s="7">
        <f>IF(AND(E194&lt;&gt;"",F194&lt;&gt;""),E194*F194,"")</f>
        <v/>
      </c>
      <c r="H194" s="8" t="n"/>
      <c r="I194" s="9" t="n"/>
    </row>
    <row r="195">
      <c r="A195" s="10" t="n"/>
      <c r="B195" s="11" t="n"/>
      <c r="C195" s="11">
        <f>IF(A195="","",TEXT(A195,"MMMM YYYY"))</f>
        <v/>
      </c>
      <c r="D195" s="11" t="n"/>
      <c r="E195" s="12" t="n"/>
      <c r="F195" s="13" t="n"/>
      <c r="G195" s="14">
        <f>IF(AND(E195&lt;&gt;"",F195&lt;&gt;""),E195*F195,"")</f>
        <v/>
      </c>
      <c r="H195" s="15" t="n"/>
      <c r="I195" s="16" t="n"/>
    </row>
    <row r="196">
      <c r="A196" s="3" t="n"/>
      <c r="B196" s="4" t="n"/>
      <c r="C196" s="4">
        <f>IF(A196="","",TEXT(A196,"MMMM YYYY"))</f>
        <v/>
      </c>
      <c r="D196" s="4" t="n"/>
      <c r="E196" s="5" t="n"/>
      <c r="F196" s="6" t="n"/>
      <c r="G196" s="7">
        <f>IF(AND(E196&lt;&gt;"",F196&lt;&gt;""),E196*F196,"")</f>
        <v/>
      </c>
      <c r="H196" s="8" t="n"/>
      <c r="I196" s="9" t="n"/>
    </row>
    <row r="197">
      <c r="A197" s="10" t="n"/>
      <c r="B197" s="11" t="n"/>
      <c r="C197" s="11">
        <f>IF(A197="","",TEXT(A197,"MMMM YYYY"))</f>
        <v/>
      </c>
      <c r="D197" s="11" t="n"/>
      <c r="E197" s="12" t="n"/>
      <c r="F197" s="13" t="n"/>
      <c r="G197" s="14">
        <f>IF(AND(E197&lt;&gt;"",F197&lt;&gt;""),E197*F197,"")</f>
        <v/>
      </c>
      <c r="H197" s="15" t="n"/>
      <c r="I197" s="16" t="n"/>
    </row>
    <row r="198">
      <c r="A198" s="3" t="n"/>
      <c r="B198" s="4" t="n"/>
      <c r="C198" s="4">
        <f>IF(A198="","",TEXT(A198,"MMMM YYYY"))</f>
        <v/>
      </c>
      <c r="D198" s="4" t="n"/>
      <c r="E198" s="5" t="n"/>
      <c r="F198" s="6" t="n"/>
      <c r="G198" s="7">
        <f>IF(AND(E198&lt;&gt;"",F198&lt;&gt;""),E198*F198,"")</f>
        <v/>
      </c>
      <c r="H198" s="8" t="n"/>
      <c r="I198" s="9" t="n"/>
    </row>
    <row r="199">
      <c r="A199" s="10" t="n"/>
      <c r="B199" s="11" t="n"/>
      <c r="C199" s="11">
        <f>IF(A199="","",TEXT(A199,"MMMM YYYY"))</f>
        <v/>
      </c>
      <c r="D199" s="11" t="n"/>
      <c r="E199" s="12" t="n"/>
      <c r="F199" s="13" t="n"/>
      <c r="G199" s="14">
        <f>IF(AND(E199&lt;&gt;"",F199&lt;&gt;""),E199*F199,"")</f>
        <v/>
      </c>
      <c r="H199" s="15" t="n"/>
      <c r="I199" s="16" t="n"/>
    </row>
    <row r="200">
      <c r="A200" s="3" t="n"/>
      <c r="B200" s="4" t="n"/>
      <c r="C200" s="4">
        <f>IF(A200="","",TEXT(A200,"MMMM YYYY"))</f>
        <v/>
      </c>
      <c r="D200" s="4" t="n"/>
      <c r="E200" s="5" t="n"/>
      <c r="F200" s="6" t="n"/>
      <c r="G200" s="7">
        <f>IF(AND(E200&lt;&gt;"",F200&lt;&gt;""),E200*F200,"")</f>
        <v/>
      </c>
      <c r="H200" s="8" t="n"/>
      <c r="I200" s="9" t="n"/>
    </row>
    <row r="201">
      <c r="A201" s="10" t="n"/>
      <c r="B201" s="11" t="n"/>
      <c r="C201" s="11">
        <f>IF(A201="","",TEXT(A201,"MMMM YYYY"))</f>
        <v/>
      </c>
      <c r="D201" s="11" t="n"/>
      <c r="E201" s="12" t="n"/>
      <c r="F201" s="13" t="n"/>
      <c r="G201" s="14">
        <f>IF(AND(E201&lt;&gt;"",F201&lt;&gt;""),E201*F201,"")</f>
        <v/>
      </c>
      <c r="H201" s="15" t="n"/>
      <c r="I201" s="16" t="n"/>
    </row>
    <row r="202">
      <c r="A202" s="3" t="n"/>
      <c r="B202" s="4" t="n"/>
      <c r="C202" s="4">
        <f>IF(A202="","",TEXT(A202,"MMMM YYYY"))</f>
        <v/>
      </c>
      <c r="D202" s="4" t="n"/>
      <c r="E202" s="5" t="n"/>
      <c r="F202" s="6" t="n"/>
      <c r="G202" s="7">
        <f>IF(AND(E202&lt;&gt;"",F202&lt;&gt;""),E202*F202,"")</f>
        <v/>
      </c>
      <c r="H202" s="8" t="n"/>
      <c r="I202" s="9" t="n"/>
    </row>
    <row r="203">
      <c r="A203" s="10" t="n"/>
      <c r="B203" s="11" t="n"/>
      <c r="C203" s="11">
        <f>IF(A203="","",TEXT(A203,"MMMM YYYY"))</f>
        <v/>
      </c>
      <c r="D203" s="11" t="n"/>
      <c r="E203" s="12" t="n"/>
      <c r="F203" s="13" t="n"/>
      <c r="G203" s="14">
        <f>IF(AND(E203&lt;&gt;"",F203&lt;&gt;""),E203*F203,"")</f>
        <v/>
      </c>
      <c r="H203" s="15" t="n"/>
      <c r="I203" s="16" t="n"/>
    </row>
  </sheetData>
  <autoFilter ref="A3:I203"/>
  <mergeCells count="1">
    <mergeCell ref="A1:I1"/>
  </mergeCells>
  <dataValidations count="2">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D104 D105 D106 D107 D108 D109 D110 D111 D112 D113 D114 D115 D116 D117 D118 D119 D120 D121 D122 D123 D124 D125 D126 D127 D128 D129 D130 D131 D132 D133 D134 D135 D136 D137 D138 D139 D140 D141 D142 D143 D144 D145 D146 D147 D148 D149 D150 D151 D152 D153 D154 D155 D156 D157 D158 D159 D160 D161 D162 D163 D164 D165 D166 D167 D168 D169 D170 D171 D172 D173 D174 D175 D176 D177 D178 D179 D180 D181 D182 D183 D184 D185 D186 D187 D188 D189 D190 D191 D192 D193 D194 D195 D196 D197 D198 D199 D200 D201 D202 D203" showDropDown="0" showInputMessage="0" showErrorMessage="0" allowBlank="1" error="Choisissez un type de carburant" prompt="Sélectionnez le type" type="list">
      <formula1>"Gasoil,Sans Plomb 95,Sans Plomb 98,E85,GPL"</formula1>
    </dataValidation>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showDropDown="0" showInputMessage="0" showErrorMessage="0" allowBlank="1" type="list">
      <formula1>"1ère quinzaine,2ème quinzaine"</formula1>
    </dataValidation>
  </dataValidations>
  <pageMargins left="0.75" right="0.75" top="1" bottom="1" header="0.5" footer="0.5"/>
</worksheet>
</file>

<file path=xl/worksheets/sheet2.xml><?xml version="1.0" encoding="utf-8"?>
<worksheet xmlns="http://schemas.openxmlformats.org/spreadsheetml/2006/main">
  <sheetPr>
    <tabColor rgb="00ED7D31"/>
    <outlinePr summaryBelow="1" summaryRight="1"/>
    <pageSetUpPr/>
  </sheetPr>
  <dimension ref="A1:H18"/>
  <sheetViews>
    <sheetView workbookViewId="0">
      <pane ySplit="5" topLeftCell="A6" activePane="bottomLeft" state="frozen"/>
      <selection pane="bottomLeft" activeCell="A1" sqref="A1"/>
    </sheetView>
  </sheetViews>
  <sheetFormatPr baseColWidth="8" defaultRowHeight="15"/>
  <cols>
    <col width="16" customWidth="1" min="1" max="1"/>
    <col width="12" customWidth="1" min="2" max="2"/>
    <col width="16" customWidth="1" min="3" max="3"/>
    <col width="18" customWidth="1" min="4" max="4"/>
    <col width="18" customWidth="1" min="5" max="5"/>
    <col width="18" customWidth="1" min="6" max="6"/>
    <col width="18" customWidth="1" min="7" max="7"/>
    <col width="16" customWidth="1" min="8" max="8"/>
  </cols>
  <sheetData>
    <row r="1" ht="40" customHeight="1">
      <c r="A1" s="17" t="inlineStr">
        <is>
          <t>📊 RÉCAPITULATIF MENSUEL DES DÉPENSES</t>
        </is>
      </c>
    </row>
    <row r="3">
      <c r="A3" s="18" t="inlineStr">
        <is>
          <t>Année :</t>
        </is>
      </c>
      <c r="B3" s="19" t="n">
        <v>2026</v>
      </c>
    </row>
    <row r="5">
      <c r="A5" s="20" t="inlineStr">
        <is>
          <t>Mois</t>
        </is>
      </c>
      <c r="B5" s="20" t="inlineStr">
        <is>
          <t>Nb Pleins</t>
        </is>
      </c>
      <c r="C5" s="20" t="inlineStr">
        <is>
          <t>Litres Total</t>
        </is>
      </c>
      <c r="D5" s="20" t="inlineStr">
        <is>
          <t>Dépense Gasoil (€)</t>
        </is>
      </c>
      <c r="E5" s="20" t="inlineStr">
        <is>
          <t>Dépense SP (€)</t>
        </is>
      </c>
      <c r="F5" s="20" t="inlineStr">
        <is>
          <t>Dépense Totale (€)</t>
        </is>
      </c>
      <c r="G5" s="20" t="inlineStr">
        <is>
          <t>Prix Moyen/L (€)</t>
        </is>
      </c>
      <c r="H5" s="20" t="inlineStr">
        <is>
          <t>Km Parcourus</t>
        </is>
      </c>
    </row>
    <row r="6">
      <c r="A6" s="21" t="inlineStr">
        <is>
          <t>Janvier</t>
        </is>
      </c>
      <c r="B6" s="22">
        <f>COUNTIFS('Saisie Factures'!A4:A203,"&gt;="&amp;DATE(B3,1,1),'Saisie Factures'!A4:A203,"&lt;"&amp;DATE(B3,1+1,1))</f>
        <v/>
      </c>
      <c r="C6" s="23">
        <f>SUMPRODUCT((MONTH('Saisie Factures'!A4:A203)=1)*(YEAR('Saisie Factures'!A4:A203)=B$3)*('Saisie Factures'!E4:E203))</f>
        <v/>
      </c>
      <c r="D6" s="24">
        <f>SUMPRODUCT((MONTH('Saisie Factures'!A4:A203)=1)*(YEAR('Saisie Factures'!A4:A203)=B$3)*('Saisie Factures'!D4:D203="Gasoil")*('Saisie Factures'!G4:G203))</f>
        <v/>
      </c>
      <c r="E6" s="24">
        <f>SUMPRODUCT((MONTH('Saisie Factures'!A4:A203)=1)*(YEAR('Saisie Factures'!A4:A203)=B$3)*(LEFT('Saisie Factures'!D4:D203,4)="Sans")*('Saisie Factures'!G4:G203))</f>
        <v/>
      </c>
      <c r="F6" s="24">
        <f>SUMPRODUCT((MONTH('Saisie Factures'!A4:A203)=1)*(YEAR('Saisie Factures'!A4:A203)=B$3)*('Saisie Factures'!G4:G203))</f>
        <v/>
      </c>
      <c r="G6" s="25">
        <f>IF(C6=0,"",F6/C6)</f>
        <v/>
      </c>
      <c r="H6" s="26">
        <f>IF(B6=0,"",MAXIFS('Saisie Factures'!H4:H203,'Saisie Factures'!A4:A203,"&gt;="&amp;DATE(B$3,1,1),'Saisie Factures'!A4:A203,"&lt;"&amp;DATE(B$3,1+1,1))-MINIFS('Saisie Factures'!H4:H203,'Saisie Factures'!A4:A203,"&gt;="&amp;DATE(B$3,1,1),'Saisie Factures'!A4:A203,"&lt;"&amp;DATE(B$3,1+1,1)))</f>
        <v/>
      </c>
    </row>
    <row r="7">
      <c r="A7" s="27" t="inlineStr">
        <is>
          <t>Février</t>
        </is>
      </c>
      <c r="B7" s="28">
        <f>COUNTIFS('Saisie Factures'!A4:A203,"&gt;="&amp;DATE(B3,2,1),'Saisie Factures'!A4:A203,"&lt;"&amp;DATE(B3,2+1,1))</f>
        <v/>
      </c>
      <c r="C7" s="29">
        <f>SUMPRODUCT((MONTH('Saisie Factures'!A4:A203)=2)*(YEAR('Saisie Factures'!A4:A203)=B$3)*('Saisie Factures'!E4:E203))</f>
        <v/>
      </c>
      <c r="D7" s="30">
        <f>SUMPRODUCT((MONTH('Saisie Factures'!A4:A203)=2)*(YEAR('Saisie Factures'!A4:A203)=B$3)*('Saisie Factures'!D4:D203="Gasoil")*('Saisie Factures'!G4:G203))</f>
        <v/>
      </c>
      <c r="E7" s="30">
        <f>SUMPRODUCT((MONTH('Saisie Factures'!A4:A203)=2)*(YEAR('Saisie Factures'!A4:A203)=B$3)*(LEFT('Saisie Factures'!D4:D203,4)="Sans")*('Saisie Factures'!G4:G203))</f>
        <v/>
      </c>
      <c r="F7" s="30">
        <f>SUMPRODUCT((MONTH('Saisie Factures'!A4:A203)=2)*(YEAR('Saisie Factures'!A4:A203)=B$3)*('Saisie Factures'!G4:G203))</f>
        <v/>
      </c>
      <c r="G7" s="31">
        <f>IF(C7=0,"",F7/C7)</f>
        <v/>
      </c>
      <c r="H7" s="32">
        <f>IF(B7=0,"",MAXIFS('Saisie Factures'!H4:H203,'Saisie Factures'!A4:A203,"&gt;="&amp;DATE(B$3,2,1),'Saisie Factures'!A4:A203,"&lt;"&amp;DATE(B$3,2+1,1))-MINIFS('Saisie Factures'!H4:H203,'Saisie Factures'!A4:A203,"&gt;="&amp;DATE(B$3,2,1),'Saisie Factures'!A4:A203,"&lt;"&amp;DATE(B$3,2+1,1)))</f>
        <v/>
      </c>
    </row>
    <row r="8">
      <c r="A8" s="21" t="inlineStr">
        <is>
          <t>Mars</t>
        </is>
      </c>
      <c r="B8" s="22">
        <f>COUNTIFS('Saisie Factures'!A4:A203,"&gt;="&amp;DATE(B3,3,1),'Saisie Factures'!A4:A203,"&lt;"&amp;DATE(B3,3+1,1))</f>
        <v/>
      </c>
      <c r="C8" s="23">
        <f>SUMPRODUCT((MONTH('Saisie Factures'!A4:A203)=3)*(YEAR('Saisie Factures'!A4:A203)=B$3)*('Saisie Factures'!E4:E203))</f>
        <v/>
      </c>
      <c r="D8" s="24">
        <f>SUMPRODUCT((MONTH('Saisie Factures'!A4:A203)=3)*(YEAR('Saisie Factures'!A4:A203)=B$3)*('Saisie Factures'!D4:D203="Gasoil")*('Saisie Factures'!G4:G203))</f>
        <v/>
      </c>
      <c r="E8" s="24">
        <f>SUMPRODUCT((MONTH('Saisie Factures'!A4:A203)=3)*(YEAR('Saisie Factures'!A4:A203)=B$3)*(LEFT('Saisie Factures'!D4:D203,4)="Sans")*('Saisie Factures'!G4:G203))</f>
        <v/>
      </c>
      <c r="F8" s="24">
        <f>SUMPRODUCT((MONTH('Saisie Factures'!A4:A203)=3)*(YEAR('Saisie Factures'!A4:A203)=B$3)*('Saisie Factures'!G4:G203))</f>
        <v/>
      </c>
      <c r="G8" s="25">
        <f>IF(C8=0,"",F8/C8)</f>
        <v/>
      </c>
      <c r="H8" s="26">
        <f>IF(B8=0,"",MAXIFS('Saisie Factures'!H4:H203,'Saisie Factures'!A4:A203,"&gt;="&amp;DATE(B$3,3,1),'Saisie Factures'!A4:A203,"&lt;"&amp;DATE(B$3,3+1,1))-MINIFS('Saisie Factures'!H4:H203,'Saisie Factures'!A4:A203,"&gt;="&amp;DATE(B$3,3,1),'Saisie Factures'!A4:A203,"&lt;"&amp;DATE(B$3,3+1,1)))</f>
        <v/>
      </c>
    </row>
    <row r="9">
      <c r="A9" s="27" t="inlineStr">
        <is>
          <t>Avril</t>
        </is>
      </c>
      <c r="B9" s="28">
        <f>COUNTIFS('Saisie Factures'!A4:A203,"&gt;="&amp;DATE(B3,4,1),'Saisie Factures'!A4:A203,"&lt;"&amp;DATE(B3,4+1,1))</f>
        <v/>
      </c>
      <c r="C9" s="29">
        <f>SUMPRODUCT((MONTH('Saisie Factures'!A4:A203)=4)*(YEAR('Saisie Factures'!A4:A203)=B$3)*('Saisie Factures'!E4:E203))</f>
        <v/>
      </c>
      <c r="D9" s="30">
        <f>SUMPRODUCT((MONTH('Saisie Factures'!A4:A203)=4)*(YEAR('Saisie Factures'!A4:A203)=B$3)*('Saisie Factures'!D4:D203="Gasoil")*('Saisie Factures'!G4:G203))</f>
        <v/>
      </c>
      <c r="E9" s="30">
        <f>SUMPRODUCT((MONTH('Saisie Factures'!A4:A203)=4)*(YEAR('Saisie Factures'!A4:A203)=B$3)*(LEFT('Saisie Factures'!D4:D203,4)="Sans")*('Saisie Factures'!G4:G203))</f>
        <v/>
      </c>
      <c r="F9" s="30">
        <f>SUMPRODUCT((MONTH('Saisie Factures'!A4:A203)=4)*(YEAR('Saisie Factures'!A4:A203)=B$3)*('Saisie Factures'!G4:G203))</f>
        <v/>
      </c>
      <c r="G9" s="31">
        <f>IF(C9=0,"",F9/C9)</f>
        <v/>
      </c>
      <c r="H9" s="32">
        <f>IF(B9=0,"",MAXIFS('Saisie Factures'!H4:H203,'Saisie Factures'!A4:A203,"&gt;="&amp;DATE(B$3,4,1),'Saisie Factures'!A4:A203,"&lt;"&amp;DATE(B$3,4+1,1))-MINIFS('Saisie Factures'!H4:H203,'Saisie Factures'!A4:A203,"&gt;="&amp;DATE(B$3,4,1),'Saisie Factures'!A4:A203,"&lt;"&amp;DATE(B$3,4+1,1)))</f>
        <v/>
      </c>
    </row>
    <row r="10">
      <c r="A10" s="21" t="inlineStr">
        <is>
          <t>Mai</t>
        </is>
      </c>
      <c r="B10" s="22">
        <f>COUNTIFS('Saisie Factures'!A4:A203,"&gt;="&amp;DATE(B3,5,1),'Saisie Factures'!A4:A203,"&lt;"&amp;DATE(B3,5+1,1))</f>
        <v/>
      </c>
      <c r="C10" s="23">
        <f>SUMPRODUCT((MONTH('Saisie Factures'!A4:A203)=5)*(YEAR('Saisie Factures'!A4:A203)=B$3)*('Saisie Factures'!E4:E203))</f>
        <v/>
      </c>
      <c r="D10" s="24">
        <f>SUMPRODUCT((MONTH('Saisie Factures'!A4:A203)=5)*(YEAR('Saisie Factures'!A4:A203)=B$3)*('Saisie Factures'!D4:D203="Gasoil")*('Saisie Factures'!G4:G203))</f>
        <v/>
      </c>
      <c r="E10" s="24">
        <f>SUMPRODUCT((MONTH('Saisie Factures'!A4:A203)=5)*(YEAR('Saisie Factures'!A4:A203)=B$3)*(LEFT('Saisie Factures'!D4:D203,4)="Sans")*('Saisie Factures'!G4:G203))</f>
        <v/>
      </c>
      <c r="F10" s="24">
        <f>SUMPRODUCT((MONTH('Saisie Factures'!A4:A203)=5)*(YEAR('Saisie Factures'!A4:A203)=B$3)*('Saisie Factures'!G4:G203))</f>
        <v/>
      </c>
      <c r="G10" s="25">
        <f>IF(C10=0,"",F10/C10)</f>
        <v/>
      </c>
      <c r="H10" s="26">
        <f>IF(B10=0,"",MAXIFS('Saisie Factures'!H4:H203,'Saisie Factures'!A4:A203,"&gt;="&amp;DATE(B$3,5,1),'Saisie Factures'!A4:A203,"&lt;"&amp;DATE(B$3,5+1,1))-MINIFS('Saisie Factures'!H4:H203,'Saisie Factures'!A4:A203,"&gt;="&amp;DATE(B$3,5,1),'Saisie Factures'!A4:A203,"&lt;"&amp;DATE(B$3,5+1,1)))</f>
        <v/>
      </c>
    </row>
    <row r="11">
      <c r="A11" s="27" t="inlineStr">
        <is>
          <t>Juin</t>
        </is>
      </c>
      <c r="B11" s="28">
        <f>COUNTIFS('Saisie Factures'!A4:A203,"&gt;="&amp;DATE(B3,6,1),'Saisie Factures'!A4:A203,"&lt;"&amp;DATE(B3,6+1,1))</f>
        <v/>
      </c>
      <c r="C11" s="29">
        <f>SUMPRODUCT((MONTH('Saisie Factures'!A4:A203)=6)*(YEAR('Saisie Factures'!A4:A203)=B$3)*('Saisie Factures'!E4:E203))</f>
        <v/>
      </c>
      <c r="D11" s="30">
        <f>SUMPRODUCT((MONTH('Saisie Factures'!A4:A203)=6)*(YEAR('Saisie Factures'!A4:A203)=B$3)*('Saisie Factures'!D4:D203="Gasoil")*('Saisie Factures'!G4:G203))</f>
        <v/>
      </c>
      <c r="E11" s="30">
        <f>SUMPRODUCT((MONTH('Saisie Factures'!A4:A203)=6)*(YEAR('Saisie Factures'!A4:A203)=B$3)*(LEFT('Saisie Factures'!D4:D203,4)="Sans")*('Saisie Factures'!G4:G203))</f>
        <v/>
      </c>
      <c r="F11" s="30">
        <f>SUMPRODUCT((MONTH('Saisie Factures'!A4:A203)=6)*(YEAR('Saisie Factures'!A4:A203)=B$3)*('Saisie Factures'!G4:G203))</f>
        <v/>
      </c>
      <c r="G11" s="31">
        <f>IF(C11=0,"",F11/C11)</f>
        <v/>
      </c>
      <c r="H11" s="32">
        <f>IF(B11=0,"",MAXIFS('Saisie Factures'!H4:H203,'Saisie Factures'!A4:A203,"&gt;="&amp;DATE(B$3,6,1),'Saisie Factures'!A4:A203,"&lt;"&amp;DATE(B$3,6+1,1))-MINIFS('Saisie Factures'!H4:H203,'Saisie Factures'!A4:A203,"&gt;="&amp;DATE(B$3,6,1),'Saisie Factures'!A4:A203,"&lt;"&amp;DATE(B$3,6+1,1)))</f>
        <v/>
      </c>
    </row>
    <row r="12">
      <c r="A12" s="21" t="inlineStr">
        <is>
          <t>Juillet</t>
        </is>
      </c>
      <c r="B12" s="22">
        <f>COUNTIFS('Saisie Factures'!A4:A203,"&gt;="&amp;DATE(B3,7,1),'Saisie Factures'!A4:A203,"&lt;"&amp;DATE(B3,7+1,1))</f>
        <v/>
      </c>
      <c r="C12" s="23">
        <f>SUMPRODUCT((MONTH('Saisie Factures'!A4:A203)=7)*(YEAR('Saisie Factures'!A4:A203)=B$3)*('Saisie Factures'!E4:E203))</f>
        <v/>
      </c>
      <c r="D12" s="24">
        <f>SUMPRODUCT((MONTH('Saisie Factures'!A4:A203)=7)*(YEAR('Saisie Factures'!A4:A203)=B$3)*('Saisie Factures'!D4:D203="Gasoil")*('Saisie Factures'!G4:G203))</f>
        <v/>
      </c>
      <c r="E12" s="24">
        <f>SUMPRODUCT((MONTH('Saisie Factures'!A4:A203)=7)*(YEAR('Saisie Factures'!A4:A203)=B$3)*(LEFT('Saisie Factures'!D4:D203,4)="Sans")*('Saisie Factures'!G4:G203))</f>
        <v/>
      </c>
      <c r="F12" s="24">
        <f>SUMPRODUCT((MONTH('Saisie Factures'!A4:A203)=7)*(YEAR('Saisie Factures'!A4:A203)=B$3)*('Saisie Factures'!G4:G203))</f>
        <v/>
      </c>
      <c r="G12" s="25">
        <f>IF(C12=0,"",F12/C12)</f>
        <v/>
      </c>
      <c r="H12" s="26">
        <f>IF(B12=0,"",MAXIFS('Saisie Factures'!H4:H203,'Saisie Factures'!A4:A203,"&gt;="&amp;DATE(B$3,7,1),'Saisie Factures'!A4:A203,"&lt;"&amp;DATE(B$3,7+1,1))-MINIFS('Saisie Factures'!H4:H203,'Saisie Factures'!A4:A203,"&gt;="&amp;DATE(B$3,7,1),'Saisie Factures'!A4:A203,"&lt;"&amp;DATE(B$3,7+1,1)))</f>
        <v/>
      </c>
    </row>
    <row r="13">
      <c r="A13" s="27" t="inlineStr">
        <is>
          <t>Août</t>
        </is>
      </c>
      <c r="B13" s="28">
        <f>COUNTIFS('Saisie Factures'!A4:A203,"&gt;="&amp;DATE(B3,8,1),'Saisie Factures'!A4:A203,"&lt;"&amp;DATE(B3,8+1,1))</f>
        <v/>
      </c>
      <c r="C13" s="29">
        <f>SUMPRODUCT((MONTH('Saisie Factures'!A4:A203)=8)*(YEAR('Saisie Factures'!A4:A203)=B$3)*('Saisie Factures'!E4:E203))</f>
        <v/>
      </c>
      <c r="D13" s="30">
        <f>SUMPRODUCT((MONTH('Saisie Factures'!A4:A203)=8)*(YEAR('Saisie Factures'!A4:A203)=B$3)*('Saisie Factures'!D4:D203="Gasoil")*('Saisie Factures'!G4:G203))</f>
        <v/>
      </c>
      <c r="E13" s="30">
        <f>SUMPRODUCT((MONTH('Saisie Factures'!A4:A203)=8)*(YEAR('Saisie Factures'!A4:A203)=B$3)*(LEFT('Saisie Factures'!D4:D203,4)="Sans")*('Saisie Factures'!G4:G203))</f>
        <v/>
      </c>
      <c r="F13" s="30">
        <f>SUMPRODUCT((MONTH('Saisie Factures'!A4:A203)=8)*(YEAR('Saisie Factures'!A4:A203)=B$3)*('Saisie Factures'!G4:G203))</f>
        <v/>
      </c>
      <c r="G13" s="31">
        <f>IF(C13=0,"",F13/C13)</f>
        <v/>
      </c>
      <c r="H13" s="32">
        <f>IF(B13=0,"",MAXIFS('Saisie Factures'!H4:H203,'Saisie Factures'!A4:A203,"&gt;="&amp;DATE(B$3,8,1),'Saisie Factures'!A4:A203,"&lt;"&amp;DATE(B$3,8+1,1))-MINIFS('Saisie Factures'!H4:H203,'Saisie Factures'!A4:A203,"&gt;="&amp;DATE(B$3,8,1),'Saisie Factures'!A4:A203,"&lt;"&amp;DATE(B$3,8+1,1)))</f>
        <v/>
      </c>
    </row>
    <row r="14">
      <c r="A14" s="21" t="inlineStr">
        <is>
          <t>Septembre</t>
        </is>
      </c>
      <c r="B14" s="22">
        <f>COUNTIFS('Saisie Factures'!A4:A203,"&gt;="&amp;DATE(B3,9,1),'Saisie Factures'!A4:A203,"&lt;"&amp;DATE(B3,9+1,1))</f>
        <v/>
      </c>
      <c r="C14" s="23">
        <f>SUMPRODUCT((MONTH('Saisie Factures'!A4:A203)=9)*(YEAR('Saisie Factures'!A4:A203)=B$3)*('Saisie Factures'!E4:E203))</f>
        <v/>
      </c>
      <c r="D14" s="24">
        <f>SUMPRODUCT((MONTH('Saisie Factures'!A4:A203)=9)*(YEAR('Saisie Factures'!A4:A203)=B$3)*('Saisie Factures'!D4:D203="Gasoil")*('Saisie Factures'!G4:G203))</f>
        <v/>
      </c>
      <c r="E14" s="24">
        <f>SUMPRODUCT((MONTH('Saisie Factures'!A4:A203)=9)*(YEAR('Saisie Factures'!A4:A203)=B$3)*(LEFT('Saisie Factures'!D4:D203,4)="Sans")*('Saisie Factures'!G4:G203))</f>
        <v/>
      </c>
      <c r="F14" s="24">
        <f>SUMPRODUCT((MONTH('Saisie Factures'!A4:A203)=9)*(YEAR('Saisie Factures'!A4:A203)=B$3)*('Saisie Factures'!G4:G203))</f>
        <v/>
      </c>
      <c r="G14" s="25">
        <f>IF(C14=0,"",F14/C14)</f>
        <v/>
      </c>
      <c r="H14" s="26">
        <f>IF(B14=0,"",MAXIFS('Saisie Factures'!H4:H203,'Saisie Factures'!A4:A203,"&gt;="&amp;DATE(B$3,9,1),'Saisie Factures'!A4:A203,"&lt;"&amp;DATE(B$3,9+1,1))-MINIFS('Saisie Factures'!H4:H203,'Saisie Factures'!A4:A203,"&gt;="&amp;DATE(B$3,9,1),'Saisie Factures'!A4:A203,"&lt;"&amp;DATE(B$3,9+1,1)))</f>
        <v/>
      </c>
    </row>
    <row r="15">
      <c r="A15" s="27" t="inlineStr">
        <is>
          <t>Octobre</t>
        </is>
      </c>
      <c r="B15" s="28">
        <f>COUNTIFS('Saisie Factures'!A4:A203,"&gt;="&amp;DATE(B3,10,1),'Saisie Factures'!A4:A203,"&lt;"&amp;DATE(B3,10+1,1))</f>
        <v/>
      </c>
      <c r="C15" s="29">
        <f>SUMPRODUCT((MONTH('Saisie Factures'!A4:A203)=10)*(YEAR('Saisie Factures'!A4:A203)=B$3)*('Saisie Factures'!E4:E203))</f>
        <v/>
      </c>
      <c r="D15" s="30">
        <f>SUMPRODUCT((MONTH('Saisie Factures'!A4:A203)=10)*(YEAR('Saisie Factures'!A4:A203)=B$3)*('Saisie Factures'!D4:D203="Gasoil")*('Saisie Factures'!G4:G203))</f>
        <v/>
      </c>
      <c r="E15" s="30">
        <f>SUMPRODUCT((MONTH('Saisie Factures'!A4:A203)=10)*(YEAR('Saisie Factures'!A4:A203)=B$3)*(LEFT('Saisie Factures'!D4:D203,4)="Sans")*('Saisie Factures'!G4:G203))</f>
        <v/>
      </c>
      <c r="F15" s="30">
        <f>SUMPRODUCT((MONTH('Saisie Factures'!A4:A203)=10)*(YEAR('Saisie Factures'!A4:A203)=B$3)*('Saisie Factures'!G4:G203))</f>
        <v/>
      </c>
      <c r="G15" s="31">
        <f>IF(C15=0,"",F15/C15)</f>
        <v/>
      </c>
      <c r="H15" s="32">
        <f>IF(B15=0,"",MAXIFS('Saisie Factures'!H4:H203,'Saisie Factures'!A4:A203,"&gt;="&amp;DATE(B$3,10,1),'Saisie Factures'!A4:A203,"&lt;"&amp;DATE(B$3,10+1,1))-MINIFS('Saisie Factures'!H4:H203,'Saisie Factures'!A4:A203,"&gt;="&amp;DATE(B$3,10,1),'Saisie Factures'!A4:A203,"&lt;"&amp;DATE(B$3,10+1,1)))</f>
        <v/>
      </c>
    </row>
    <row r="16">
      <c r="A16" s="21" t="inlineStr">
        <is>
          <t>Novembre</t>
        </is>
      </c>
      <c r="B16" s="22">
        <f>COUNTIFS('Saisie Factures'!A4:A203,"&gt;="&amp;DATE(B3,11,1),'Saisie Factures'!A4:A203,"&lt;"&amp;DATE(B3,11+1,1))</f>
        <v/>
      </c>
      <c r="C16" s="23">
        <f>SUMPRODUCT((MONTH('Saisie Factures'!A4:A203)=11)*(YEAR('Saisie Factures'!A4:A203)=B$3)*('Saisie Factures'!E4:E203))</f>
        <v/>
      </c>
      <c r="D16" s="24">
        <f>SUMPRODUCT((MONTH('Saisie Factures'!A4:A203)=11)*(YEAR('Saisie Factures'!A4:A203)=B$3)*('Saisie Factures'!D4:D203="Gasoil")*('Saisie Factures'!G4:G203))</f>
        <v/>
      </c>
      <c r="E16" s="24">
        <f>SUMPRODUCT((MONTH('Saisie Factures'!A4:A203)=11)*(YEAR('Saisie Factures'!A4:A203)=B$3)*(LEFT('Saisie Factures'!D4:D203,4)="Sans")*('Saisie Factures'!G4:G203))</f>
        <v/>
      </c>
      <c r="F16" s="24">
        <f>SUMPRODUCT((MONTH('Saisie Factures'!A4:A203)=11)*(YEAR('Saisie Factures'!A4:A203)=B$3)*('Saisie Factures'!G4:G203))</f>
        <v/>
      </c>
      <c r="G16" s="25">
        <f>IF(C16=0,"",F16/C16)</f>
        <v/>
      </c>
      <c r="H16" s="26">
        <f>IF(B16=0,"",MAXIFS('Saisie Factures'!H4:H203,'Saisie Factures'!A4:A203,"&gt;="&amp;DATE(B$3,11,1),'Saisie Factures'!A4:A203,"&lt;"&amp;DATE(B$3,11+1,1))-MINIFS('Saisie Factures'!H4:H203,'Saisie Factures'!A4:A203,"&gt;="&amp;DATE(B$3,11,1),'Saisie Factures'!A4:A203,"&lt;"&amp;DATE(B$3,11+1,1)))</f>
        <v/>
      </c>
    </row>
    <row r="17">
      <c r="A17" s="27" t="inlineStr">
        <is>
          <t>Décembre</t>
        </is>
      </c>
      <c r="B17" s="28">
        <f>COUNTIFS('Saisie Factures'!A4:A203,"&gt;="&amp;DATE(B3,12,1),'Saisie Factures'!A4:A203,"&lt;"&amp;DATE(B3,12+1,1))</f>
        <v/>
      </c>
      <c r="C17" s="29">
        <f>SUMPRODUCT((MONTH('Saisie Factures'!A4:A203)=12)*(YEAR('Saisie Factures'!A4:A203)=B$3)*('Saisie Factures'!E4:E203))</f>
        <v/>
      </c>
      <c r="D17" s="30">
        <f>SUMPRODUCT((MONTH('Saisie Factures'!A4:A203)=12)*(YEAR('Saisie Factures'!A4:A203)=B$3)*('Saisie Factures'!D4:D203="Gasoil")*('Saisie Factures'!G4:G203))</f>
        <v/>
      </c>
      <c r="E17" s="30">
        <f>SUMPRODUCT((MONTH('Saisie Factures'!A4:A203)=12)*(YEAR('Saisie Factures'!A4:A203)=B$3)*(LEFT('Saisie Factures'!D4:D203,4)="Sans")*('Saisie Factures'!G4:G203))</f>
        <v/>
      </c>
      <c r="F17" s="30">
        <f>SUMPRODUCT((MONTH('Saisie Factures'!A4:A203)=12)*(YEAR('Saisie Factures'!A4:A203)=B$3)*('Saisie Factures'!G4:G203))</f>
        <v/>
      </c>
      <c r="G17" s="31">
        <f>IF(C17=0,"",F17/C17)</f>
        <v/>
      </c>
      <c r="H17" s="32">
        <f>IF(B17=0,"",MAXIFS('Saisie Factures'!H4:H203,'Saisie Factures'!A4:A203,"&gt;="&amp;DATE(B$3,12,1),'Saisie Factures'!A4:A203,"&lt;"&amp;DATE(B$3,12+1,1))-MINIFS('Saisie Factures'!H4:H203,'Saisie Factures'!A4:A203,"&gt;="&amp;DATE(B$3,12,1),'Saisie Factures'!A4:A203,"&lt;"&amp;DATE(B$3,12+1,1)))</f>
        <v/>
      </c>
    </row>
    <row r="18">
      <c r="A18" s="20" t="inlineStr">
        <is>
          <t>TOTAL ANNUEL</t>
        </is>
      </c>
      <c r="B18" s="20">
        <f>SUM(B6:B17)</f>
        <v/>
      </c>
      <c r="C18" s="33">
        <f>SUM(C6:C17)</f>
        <v/>
      </c>
      <c r="D18" s="34">
        <f>SUM(D6:D17)</f>
        <v/>
      </c>
      <c r="E18" s="34">
        <f>SUM(E6:E17)</f>
        <v/>
      </c>
      <c r="F18" s="34">
        <f>SUM(F6:F17)</f>
        <v/>
      </c>
      <c r="G18" s="35">
        <f>IF(C18=0,"",F18/C18)</f>
        <v/>
      </c>
      <c r="H18" s="20" t="n"/>
    </row>
  </sheetData>
  <mergeCells count="1">
    <mergeCell ref="A1:H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548235"/>
    <outlinePr summaryBelow="1" summaryRight="1"/>
    <pageSetUpPr/>
  </sheetPr>
  <dimension ref="A1:F29"/>
  <sheetViews>
    <sheetView workbookViewId="0">
      <pane ySplit="5" topLeftCell="A6" activePane="bottomLeft" state="frozen"/>
      <selection pane="bottomLeft" activeCell="A1" sqref="A1"/>
    </sheetView>
  </sheetViews>
  <sheetFormatPr baseColWidth="8" defaultRowHeight="15"/>
  <cols>
    <col width="16" customWidth="1" min="1" max="1"/>
    <col width="18" customWidth="1" min="2" max="2"/>
    <col width="12" customWidth="1" min="3" max="3"/>
    <col width="14" customWidth="1" min="4" max="4"/>
    <col width="16" customWidth="1" min="5" max="5"/>
    <col width="16" customWidth="1" min="6" max="6"/>
  </cols>
  <sheetData>
    <row r="1" ht="40" customHeight="1">
      <c r="A1" s="36" t="inlineStr">
        <is>
          <t>📅 RÉCAPITULATIF PAR QUINZAINE</t>
        </is>
      </c>
    </row>
    <row r="3">
      <c r="A3" s="18" t="inlineStr">
        <is>
          <t>Année :</t>
        </is>
      </c>
      <c r="B3" t="n">
        <v>2026</v>
      </c>
    </row>
    <row r="5">
      <c r="A5" s="37" t="inlineStr">
        <is>
          <t>Mois</t>
        </is>
      </c>
      <c r="B5" s="37" t="inlineStr">
        <is>
          <t>Quinzaine</t>
        </is>
      </c>
      <c r="C5" s="37" t="inlineStr">
        <is>
          <t>Nb Pleins</t>
        </is>
      </c>
      <c r="D5" s="37" t="inlineStr">
        <is>
          <t>Litres</t>
        </is>
      </c>
      <c r="E5" s="37" t="inlineStr">
        <is>
          <t>Dépense (€)</t>
        </is>
      </c>
      <c r="F5" s="37" t="inlineStr">
        <is>
          <t>Prix Moyen/L</t>
        </is>
      </c>
    </row>
    <row r="6">
      <c r="A6" s="38" t="inlineStr">
        <is>
          <t>Janvier</t>
        </is>
      </c>
      <c r="B6" s="39" t="inlineStr">
        <is>
          <t>1ère quinzaine</t>
        </is>
      </c>
      <c r="C6" s="39">
        <f>COUNTIFS('Saisie Factures'!A4:A203,"&gt;="&amp;DATE(B$3,1,1),'Saisie Factures'!A4:A203,"&lt;"&amp;DATE(B$3,1+1,1),'Saisie Factures'!B4:B203,"1ère quinzaine")</f>
        <v/>
      </c>
      <c r="D6" s="40">
        <f>SUMPRODUCT((MONTH('Saisie Factures'!A4:A203)=1)*(YEAR('Saisie Factures'!A4:A203)=B$3)*('Saisie Factures'!B4:B203="1ère quinzaine")*('Saisie Factures'!E4:E203))</f>
        <v/>
      </c>
      <c r="E6" s="41">
        <f>SUMPRODUCT((MONTH('Saisie Factures'!A4:A203)=1)*(YEAR('Saisie Factures'!A4:A203)=B$3)*('Saisie Factures'!B4:B203="1ère quinzaine")*('Saisie Factures'!G4:G203))</f>
        <v/>
      </c>
      <c r="F6" s="42">
        <f>IF(D6=0,"",E6/D6)</f>
        <v/>
      </c>
    </row>
    <row r="7">
      <c r="A7" s="27" t="inlineStr">
        <is>
          <t>Janvier</t>
        </is>
      </c>
      <c r="B7" s="28" t="inlineStr">
        <is>
          <t>2ème quinzaine</t>
        </is>
      </c>
      <c r="C7" s="28">
        <f>COUNTIFS('Saisie Factures'!A4:A203,"&gt;="&amp;DATE(B$3,1,1),'Saisie Factures'!A4:A203,"&lt;"&amp;DATE(B$3,1+1,1),'Saisie Factures'!B4:B203,"2ème quinzaine")</f>
        <v/>
      </c>
      <c r="D7" s="29">
        <f>SUMPRODUCT((MONTH('Saisie Factures'!A4:A203)=1)*(YEAR('Saisie Factures'!A4:A203)=B$3)*('Saisie Factures'!B4:B203="2ème quinzaine")*('Saisie Factures'!E4:E203))</f>
        <v/>
      </c>
      <c r="E7" s="30">
        <f>SUMPRODUCT((MONTH('Saisie Factures'!A4:A203)=1)*(YEAR('Saisie Factures'!A4:A203)=B$3)*('Saisie Factures'!B4:B203="2ème quinzaine")*('Saisie Factures'!G4:G203))</f>
        <v/>
      </c>
      <c r="F7" s="31">
        <f>IF(D7=0,"",E7/D7)</f>
        <v/>
      </c>
    </row>
    <row r="8">
      <c r="A8" s="38" t="inlineStr">
        <is>
          <t>Février</t>
        </is>
      </c>
      <c r="B8" s="39" t="inlineStr">
        <is>
          <t>1ère quinzaine</t>
        </is>
      </c>
      <c r="C8" s="39">
        <f>COUNTIFS('Saisie Factures'!A4:A203,"&gt;="&amp;DATE(B$3,2,1),'Saisie Factures'!A4:A203,"&lt;"&amp;DATE(B$3,2+1,1),'Saisie Factures'!B4:B203,"1ère quinzaine")</f>
        <v/>
      </c>
      <c r="D8" s="40">
        <f>SUMPRODUCT((MONTH('Saisie Factures'!A4:A203)=2)*(YEAR('Saisie Factures'!A4:A203)=B$3)*('Saisie Factures'!B4:B203="1ère quinzaine")*('Saisie Factures'!E4:E203))</f>
        <v/>
      </c>
      <c r="E8" s="41">
        <f>SUMPRODUCT((MONTH('Saisie Factures'!A4:A203)=2)*(YEAR('Saisie Factures'!A4:A203)=B$3)*('Saisie Factures'!B4:B203="1ère quinzaine")*('Saisie Factures'!G4:G203))</f>
        <v/>
      </c>
      <c r="F8" s="42">
        <f>IF(D8=0,"",E8/D8)</f>
        <v/>
      </c>
    </row>
    <row r="9">
      <c r="A9" s="27" t="inlineStr">
        <is>
          <t>Février</t>
        </is>
      </c>
      <c r="B9" s="28" t="inlineStr">
        <is>
          <t>2ème quinzaine</t>
        </is>
      </c>
      <c r="C9" s="28">
        <f>COUNTIFS('Saisie Factures'!A4:A203,"&gt;="&amp;DATE(B$3,2,1),'Saisie Factures'!A4:A203,"&lt;"&amp;DATE(B$3,2+1,1),'Saisie Factures'!B4:B203,"2ème quinzaine")</f>
        <v/>
      </c>
      <c r="D9" s="29">
        <f>SUMPRODUCT((MONTH('Saisie Factures'!A4:A203)=2)*(YEAR('Saisie Factures'!A4:A203)=B$3)*('Saisie Factures'!B4:B203="2ème quinzaine")*('Saisie Factures'!E4:E203))</f>
        <v/>
      </c>
      <c r="E9" s="30">
        <f>SUMPRODUCT((MONTH('Saisie Factures'!A4:A203)=2)*(YEAR('Saisie Factures'!A4:A203)=B$3)*('Saisie Factures'!B4:B203="2ème quinzaine")*('Saisie Factures'!G4:G203))</f>
        <v/>
      </c>
      <c r="F9" s="31">
        <f>IF(D9=0,"",E9/D9)</f>
        <v/>
      </c>
    </row>
    <row r="10">
      <c r="A10" s="38" t="inlineStr">
        <is>
          <t>Mars</t>
        </is>
      </c>
      <c r="B10" s="39" t="inlineStr">
        <is>
          <t>1ère quinzaine</t>
        </is>
      </c>
      <c r="C10" s="39">
        <f>COUNTIFS('Saisie Factures'!A4:A203,"&gt;="&amp;DATE(B$3,3,1),'Saisie Factures'!A4:A203,"&lt;"&amp;DATE(B$3,3+1,1),'Saisie Factures'!B4:B203,"1ère quinzaine")</f>
        <v/>
      </c>
      <c r="D10" s="40">
        <f>SUMPRODUCT((MONTH('Saisie Factures'!A4:A203)=3)*(YEAR('Saisie Factures'!A4:A203)=B$3)*('Saisie Factures'!B4:B203="1ère quinzaine")*('Saisie Factures'!E4:E203))</f>
        <v/>
      </c>
      <c r="E10" s="41">
        <f>SUMPRODUCT((MONTH('Saisie Factures'!A4:A203)=3)*(YEAR('Saisie Factures'!A4:A203)=B$3)*('Saisie Factures'!B4:B203="1ère quinzaine")*('Saisie Factures'!G4:G203))</f>
        <v/>
      </c>
      <c r="F10" s="42">
        <f>IF(D10=0,"",E10/D10)</f>
        <v/>
      </c>
    </row>
    <row r="11">
      <c r="A11" s="27" t="inlineStr">
        <is>
          <t>Mars</t>
        </is>
      </c>
      <c r="B11" s="28" t="inlineStr">
        <is>
          <t>2ème quinzaine</t>
        </is>
      </c>
      <c r="C11" s="28">
        <f>COUNTIFS('Saisie Factures'!A4:A203,"&gt;="&amp;DATE(B$3,3,1),'Saisie Factures'!A4:A203,"&lt;"&amp;DATE(B$3,3+1,1),'Saisie Factures'!B4:B203,"2ème quinzaine")</f>
        <v/>
      </c>
      <c r="D11" s="29">
        <f>SUMPRODUCT((MONTH('Saisie Factures'!A4:A203)=3)*(YEAR('Saisie Factures'!A4:A203)=B$3)*('Saisie Factures'!B4:B203="2ème quinzaine")*('Saisie Factures'!E4:E203))</f>
        <v/>
      </c>
      <c r="E11" s="30">
        <f>SUMPRODUCT((MONTH('Saisie Factures'!A4:A203)=3)*(YEAR('Saisie Factures'!A4:A203)=B$3)*('Saisie Factures'!B4:B203="2ème quinzaine")*('Saisie Factures'!G4:G203))</f>
        <v/>
      </c>
      <c r="F11" s="31">
        <f>IF(D11=0,"",E11/D11)</f>
        <v/>
      </c>
    </row>
    <row r="12">
      <c r="A12" s="38" t="inlineStr">
        <is>
          <t>Avril</t>
        </is>
      </c>
      <c r="B12" s="39" t="inlineStr">
        <is>
          <t>1ère quinzaine</t>
        </is>
      </c>
      <c r="C12" s="39">
        <f>COUNTIFS('Saisie Factures'!A4:A203,"&gt;="&amp;DATE(B$3,4,1),'Saisie Factures'!A4:A203,"&lt;"&amp;DATE(B$3,4+1,1),'Saisie Factures'!B4:B203,"1ère quinzaine")</f>
        <v/>
      </c>
      <c r="D12" s="40">
        <f>SUMPRODUCT((MONTH('Saisie Factures'!A4:A203)=4)*(YEAR('Saisie Factures'!A4:A203)=B$3)*('Saisie Factures'!B4:B203="1ère quinzaine")*('Saisie Factures'!E4:E203))</f>
        <v/>
      </c>
      <c r="E12" s="41">
        <f>SUMPRODUCT((MONTH('Saisie Factures'!A4:A203)=4)*(YEAR('Saisie Factures'!A4:A203)=B$3)*('Saisie Factures'!B4:B203="1ère quinzaine")*('Saisie Factures'!G4:G203))</f>
        <v/>
      </c>
      <c r="F12" s="42">
        <f>IF(D12=0,"",E12/D12)</f>
        <v/>
      </c>
    </row>
    <row r="13">
      <c r="A13" s="27" t="inlineStr">
        <is>
          <t>Avril</t>
        </is>
      </c>
      <c r="B13" s="28" t="inlineStr">
        <is>
          <t>2ème quinzaine</t>
        </is>
      </c>
      <c r="C13" s="28">
        <f>COUNTIFS('Saisie Factures'!A4:A203,"&gt;="&amp;DATE(B$3,4,1),'Saisie Factures'!A4:A203,"&lt;"&amp;DATE(B$3,4+1,1),'Saisie Factures'!B4:B203,"2ème quinzaine")</f>
        <v/>
      </c>
      <c r="D13" s="29">
        <f>SUMPRODUCT((MONTH('Saisie Factures'!A4:A203)=4)*(YEAR('Saisie Factures'!A4:A203)=B$3)*('Saisie Factures'!B4:B203="2ème quinzaine")*('Saisie Factures'!E4:E203))</f>
        <v/>
      </c>
      <c r="E13" s="30">
        <f>SUMPRODUCT((MONTH('Saisie Factures'!A4:A203)=4)*(YEAR('Saisie Factures'!A4:A203)=B$3)*('Saisie Factures'!B4:B203="2ème quinzaine")*('Saisie Factures'!G4:G203))</f>
        <v/>
      </c>
      <c r="F13" s="31">
        <f>IF(D13=0,"",E13/D13)</f>
        <v/>
      </c>
    </row>
    <row r="14">
      <c r="A14" s="38" t="inlineStr">
        <is>
          <t>Mai</t>
        </is>
      </c>
      <c r="B14" s="39" t="inlineStr">
        <is>
          <t>1ère quinzaine</t>
        </is>
      </c>
      <c r="C14" s="39">
        <f>COUNTIFS('Saisie Factures'!A4:A203,"&gt;="&amp;DATE(B$3,5,1),'Saisie Factures'!A4:A203,"&lt;"&amp;DATE(B$3,5+1,1),'Saisie Factures'!B4:B203,"1ère quinzaine")</f>
        <v/>
      </c>
      <c r="D14" s="40">
        <f>SUMPRODUCT((MONTH('Saisie Factures'!A4:A203)=5)*(YEAR('Saisie Factures'!A4:A203)=B$3)*('Saisie Factures'!B4:B203="1ère quinzaine")*('Saisie Factures'!E4:E203))</f>
        <v/>
      </c>
      <c r="E14" s="41">
        <f>SUMPRODUCT((MONTH('Saisie Factures'!A4:A203)=5)*(YEAR('Saisie Factures'!A4:A203)=B$3)*('Saisie Factures'!B4:B203="1ère quinzaine")*('Saisie Factures'!G4:G203))</f>
        <v/>
      </c>
      <c r="F14" s="42">
        <f>IF(D14=0,"",E14/D14)</f>
        <v/>
      </c>
    </row>
    <row r="15">
      <c r="A15" s="27" t="inlineStr">
        <is>
          <t>Mai</t>
        </is>
      </c>
      <c r="B15" s="28" t="inlineStr">
        <is>
          <t>2ème quinzaine</t>
        </is>
      </c>
      <c r="C15" s="28">
        <f>COUNTIFS('Saisie Factures'!A4:A203,"&gt;="&amp;DATE(B$3,5,1),'Saisie Factures'!A4:A203,"&lt;"&amp;DATE(B$3,5+1,1),'Saisie Factures'!B4:B203,"2ème quinzaine")</f>
        <v/>
      </c>
      <c r="D15" s="29">
        <f>SUMPRODUCT((MONTH('Saisie Factures'!A4:A203)=5)*(YEAR('Saisie Factures'!A4:A203)=B$3)*('Saisie Factures'!B4:B203="2ème quinzaine")*('Saisie Factures'!E4:E203))</f>
        <v/>
      </c>
      <c r="E15" s="30">
        <f>SUMPRODUCT((MONTH('Saisie Factures'!A4:A203)=5)*(YEAR('Saisie Factures'!A4:A203)=B$3)*('Saisie Factures'!B4:B203="2ème quinzaine")*('Saisie Factures'!G4:G203))</f>
        <v/>
      </c>
      <c r="F15" s="31">
        <f>IF(D15=0,"",E15/D15)</f>
        <v/>
      </c>
    </row>
    <row r="16">
      <c r="A16" s="38" t="inlineStr">
        <is>
          <t>Juin</t>
        </is>
      </c>
      <c r="B16" s="39" t="inlineStr">
        <is>
          <t>1ère quinzaine</t>
        </is>
      </c>
      <c r="C16" s="39">
        <f>COUNTIFS('Saisie Factures'!A4:A203,"&gt;="&amp;DATE(B$3,6,1),'Saisie Factures'!A4:A203,"&lt;"&amp;DATE(B$3,6+1,1),'Saisie Factures'!B4:B203,"1ère quinzaine")</f>
        <v/>
      </c>
      <c r="D16" s="40">
        <f>SUMPRODUCT((MONTH('Saisie Factures'!A4:A203)=6)*(YEAR('Saisie Factures'!A4:A203)=B$3)*('Saisie Factures'!B4:B203="1ère quinzaine")*('Saisie Factures'!E4:E203))</f>
        <v/>
      </c>
      <c r="E16" s="41">
        <f>SUMPRODUCT((MONTH('Saisie Factures'!A4:A203)=6)*(YEAR('Saisie Factures'!A4:A203)=B$3)*('Saisie Factures'!B4:B203="1ère quinzaine")*('Saisie Factures'!G4:G203))</f>
        <v/>
      </c>
      <c r="F16" s="42">
        <f>IF(D16=0,"",E16/D16)</f>
        <v/>
      </c>
    </row>
    <row r="17">
      <c r="A17" s="27" t="inlineStr">
        <is>
          <t>Juin</t>
        </is>
      </c>
      <c r="B17" s="28" t="inlineStr">
        <is>
          <t>2ème quinzaine</t>
        </is>
      </c>
      <c r="C17" s="28">
        <f>COUNTIFS('Saisie Factures'!A4:A203,"&gt;="&amp;DATE(B$3,6,1),'Saisie Factures'!A4:A203,"&lt;"&amp;DATE(B$3,6+1,1),'Saisie Factures'!B4:B203,"2ème quinzaine")</f>
        <v/>
      </c>
      <c r="D17" s="29">
        <f>SUMPRODUCT((MONTH('Saisie Factures'!A4:A203)=6)*(YEAR('Saisie Factures'!A4:A203)=B$3)*('Saisie Factures'!B4:B203="2ème quinzaine")*('Saisie Factures'!E4:E203))</f>
        <v/>
      </c>
      <c r="E17" s="30">
        <f>SUMPRODUCT((MONTH('Saisie Factures'!A4:A203)=6)*(YEAR('Saisie Factures'!A4:A203)=B$3)*('Saisie Factures'!B4:B203="2ème quinzaine")*('Saisie Factures'!G4:G203))</f>
        <v/>
      </c>
      <c r="F17" s="31">
        <f>IF(D17=0,"",E17/D17)</f>
        <v/>
      </c>
    </row>
    <row r="18">
      <c r="A18" s="38" t="inlineStr">
        <is>
          <t>Juillet</t>
        </is>
      </c>
      <c r="B18" s="39" t="inlineStr">
        <is>
          <t>1ère quinzaine</t>
        </is>
      </c>
      <c r="C18" s="39">
        <f>COUNTIFS('Saisie Factures'!A4:A203,"&gt;="&amp;DATE(B$3,7,1),'Saisie Factures'!A4:A203,"&lt;"&amp;DATE(B$3,7+1,1),'Saisie Factures'!B4:B203,"1ère quinzaine")</f>
        <v/>
      </c>
      <c r="D18" s="40">
        <f>SUMPRODUCT((MONTH('Saisie Factures'!A4:A203)=7)*(YEAR('Saisie Factures'!A4:A203)=B$3)*('Saisie Factures'!B4:B203="1ère quinzaine")*('Saisie Factures'!E4:E203))</f>
        <v/>
      </c>
      <c r="E18" s="41">
        <f>SUMPRODUCT((MONTH('Saisie Factures'!A4:A203)=7)*(YEAR('Saisie Factures'!A4:A203)=B$3)*('Saisie Factures'!B4:B203="1ère quinzaine")*('Saisie Factures'!G4:G203))</f>
        <v/>
      </c>
      <c r="F18" s="42">
        <f>IF(D18=0,"",E18/D18)</f>
        <v/>
      </c>
    </row>
    <row r="19">
      <c r="A19" s="27" t="inlineStr">
        <is>
          <t>Juillet</t>
        </is>
      </c>
      <c r="B19" s="28" t="inlineStr">
        <is>
          <t>2ème quinzaine</t>
        </is>
      </c>
      <c r="C19" s="28">
        <f>COUNTIFS('Saisie Factures'!A4:A203,"&gt;="&amp;DATE(B$3,7,1),'Saisie Factures'!A4:A203,"&lt;"&amp;DATE(B$3,7+1,1),'Saisie Factures'!B4:B203,"2ème quinzaine")</f>
        <v/>
      </c>
      <c r="D19" s="29">
        <f>SUMPRODUCT((MONTH('Saisie Factures'!A4:A203)=7)*(YEAR('Saisie Factures'!A4:A203)=B$3)*('Saisie Factures'!B4:B203="2ème quinzaine")*('Saisie Factures'!E4:E203))</f>
        <v/>
      </c>
      <c r="E19" s="30">
        <f>SUMPRODUCT((MONTH('Saisie Factures'!A4:A203)=7)*(YEAR('Saisie Factures'!A4:A203)=B$3)*('Saisie Factures'!B4:B203="2ème quinzaine")*('Saisie Factures'!G4:G203))</f>
        <v/>
      </c>
      <c r="F19" s="31">
        <f>IF(D19=0,"",E19/D19)</f>
        <v/>
      </c>
    </row>
    <row r="20">
      <c r="A20" s="38" t="inlineStr">
        <is>
          <t>Août</t>
        </is>
      </c>
      <c r="B20" s="39" t="inlineStr">
        <is>
          <t>1ère quinzaine</t>
        </is>
      </c>
      <c r="C20" s="39">
        <f>COUNTIFS('Saisie Factures'!A4:A203,"&gt;="&amp;DATE(B$3,8,1),'Saisie Factures'!A4:A203,"&lt;"&amp;DATE(B$3,8+1,1),'Saisie Factures'!B4:B203,"1ère quinzaine")</f>
        <v/>
      </c>
      <c r="D20" s="40">
        <f>SUMPRODUCT((MONTH('Saisie Factures'!A4:A203)=8)*(YEAR('Saisie Factures'!A4:A203)=B$3)*('Saisie Factures'!B4:B203="1ère quinzaine")*('Saisie Factures'!E4:E203))</f>
        <v/>
      </c>
      <c r="E20" s="41">
        <f>SUMPRODUCT((MONTH('Saisie Factures'!A4:A203)=8)*(YEAR('Saisie Factures'!A4:A203)=B$3)*('Saisie Factures'!B4:B203="1ère quinzaine")*('Saisie Factures'!G4:G203))</f>
        <v/>
      </c>
      <c r="F20" s="42">
        <f>IF(D20=0,"",E20/D20)</f>
        <v/>
      </c>
    </row>
    <row r="21">
      <c r="A21" s="27" t="inlineStr">
        <is>
          <t>Août</t>
        </is>
      </c>
      <c r="B21" s="28" t="inlineStr">
        <is>
          <t>2ème quinzaine</t>
        </is>
      </c>
      <c r="C21" s="28">
        <f>COUNTIFS('Saisie Factures'!A4:A203,"&gt;="&amp;DATE(B$3,8,1),'Saisie Factures'!A4:A203,"&lt;"&amp;DATE(B$3,8+1,1),'Saisie Factures'!B4:B203,"2ème quinzaine")</f>
        <v/>
      </c>
      <c r="D21" s="29">
        <f>SUMPRODUCT((MONTH('Saisie Factures'!A4:A203)=8)*(YEAR('Saisie Factures'!A4:A203)=B$3)*('Saisie Factures'!B4:B203="2ème quinzaine")*('Saisie Factures'!E4:E203))</f>
        <v/>
      </c>
      <c r="E21" s="30">
        <f>SUMPRODUCT((MONTH('Saisie Factures'!A4:A203)=8)*(YEAR('Saisie Factures'!A4:A203)=B$3)*('Saisie Factures'!B4:B203="2ème quinzaine")*('Saisie Factures'!G4:G203))</f>
        <v/>
      </c>
      <c r="F21" s="31">
        <f>IF(D21=0,"",E21/D21)</f>
        <v/>
      </c>
    </row>
    <row r="22">
      <c r="A22" s="38" t="inlineStr">
        <is>
          <t>Septembre</t>
        </is>
      </c>
      <c r="B22" s="39" t="inlineStr">
        <is>
          <t>1ère quinzaine</t>
        </is>
      </c>
      <c r="C22" s="39">
        <f>COUNTIFS('Saisie Factures'!A4:A203,"&gt;="&amp;DATE(B$3,9,1),'Saisie Factures'!A4:A203,"&lt;"&amp;DATE(B$3,9+1,1),'Saisie Factures'!B4:B203,"1ère quinzaine")</f>
        <v/>
      </c>
      <c r="D22" s="40">
        <f>SUMPRODUCT((MONTH('Saisie Factures'!A4:A203)=9)*(YEAR('Saisie Factures'!A4:A203)=B$3)*('Saisie Factures'!B4:B203="1ère quinzaine")*('Saisie Factures'!E4:E203))</f>
        <v/>
      </c>
      <c r="E22" s="41">
        <f>SUMPRODUCT((MONTH('Saisie Factures'!A4:A203)=9)*(YEAR('Saisie Factures'!A4:A203)=B$3)*('Saisie Factures'!B4:B203="1ère quinzaine")*('Saisie Factures'!G4:G203))</f>
        <v/>
      </c>
      <c r="F22" s="42">
        <f>IF(D22=0,"",E22/D22)</f>
        <v/>
      </c>
    </row>
    <row r="23">
      <c r="A23" s="27" t="inlineStr">
        <is>
          <t>Septembre</t>
        </is>
      </c>
      <c r="B23" s="28" t="inlineStr">
        <is>
          <t>2ème quinzaine</t>
        </is>
      </c>
      <c r="C23" s="28">
        <f>COUNTIFS('Saisie Factures'!A4:A203,"&gt;="&amp;DATE(B$3,9,1),'Saisie Factures'!A4:A203,"&lt;"&amp;DATE(B$3,9+1,1),'Saisie Factures'!B4:B203,"2ème quinzaine")</f>
        <v/>
      </c>
      <c r="D23" s="29">
        <f>SUMPRODUCT((MONTH('Saisie Factures'!A4:A203)=9)*(YEAR('Saisie Factures'!A4:A203)=B$3)*('Saisie Factures'!B4:B203="2ème quinzaine")*('Saisie Factures'!E4:E203))</f>
        <v/>
      </c>
      <c r="E23" s="30">
        <f>SUMPRODUCT((MONTH('Saisie Factures'!A4:A203)=9)*(YEAR('Saisie Factures'!A4:A203)=B$3)*('Saisie Factures'!B4:B203="2ème quinzaine")*('Saisie Factures'!G4:G203))</f>
        <v/>
      </c>
      <c r="F23" s="31">
        <f>IF(D23=0,"",E23/D23)</f>
        <v/>
      </c>
    </row>
    <row r="24">
      <c r="A24" s="38" t="inlineStr">
        <is>
          <t>Octobre</t>
        </is>
      </c>
      <c r="B24" s="39" t="inlineStr">
        <is>
          <t>1ère quinzaine</t>
        </is>
      </c>
      <c r="C24" s="39">
        <f>COUNTIFS('Saisie Factures'!A4:A203,"&gt;="&amp;DATE(B$3,10,1),'Saisie Factures'!A4:A203,"&lt;"&amp;DATE(B$3,10+1,1),'Saisie Factures'!B4:B203,"1ère quinzaine")</f>
        <v/>
      </c>
      <c r="D24" s="40">
        <f>SUMPRODUCT((MONTH('Saisie Factures'!A4:A203)=10)*(YEAR('Saisie Factures'!A4:A203)=B$3)*('Saisie Factures'!B4:B203="1ère quinzaine")*('Saisie Factures'!E4:E203))</f>
        <v/>
      </c>
      <c r="E24" s="41">
        <f>SUMPRODUCT((MONTH('Saisie Factures'!A4:A203)=10)*(YEAR('Saisie Factures'!A4:A203)=B$3)*('Saisie Factures'!B4:B203="1ère quinzaine")*('Saisie Factures'!G4:G203))</f>
        <v/>
      </c>
      <c r="F24" s="42">
        <f>IF(D24=0,"",E24/D24)</f>
        <v/>
      </c>
    </row>
    <row r="25">
      <c r="A25" s="27" t="inlineStr">
        <is>
          <t>Octobre</t>
        </is>
      </c>
      <c r="B25" s="28" t="inlineStr">
        <is>
          <t>2ème quinzaine</t>
        </is>
      </c>
      <c r="C25" s="28">
        <f>COUNTIFS('Saisie Factures'!A4:A203,"&gt;="&amp;DATE(B$3,10,1),'Saisie Factures'!A4:A203,"&lt;"&amp;DATE(B$3,10+1,1),'Saisie Factures'!B4:B203,"2ème quinzaine")</f>
        <v/>
      </c>
      <c r="D25" s="29">
        <f>SUMPRODUCT((MONTH('Saisie Factures'!A4:A203)=10)*(YEAR('Saisie Factures'!A4:A203)=B$3)*('Saisie Factures'!B4:B203="2ème quinzaine")*('Saisie Factures'!E4:E203))</f>
        <v/>
      </c>
      <c r="E25" s="30">
        <f>SUMPRODUCT((MONTH('Saisie Factures'!A4:A203)=10)*(YEAR('Saisie Factures'!A4:A203)=B$3)*('Saisie Factures'!B4:B203="2ème quinzaine")*('Saisie Factures'!G4:G203))</f>
        <v/>
      </c>
      <c r="F25" s="31">
        <f>IF(D25=0,"",E25/D25)</f>
        <v/>
      </c>
    </row>
    <row r="26">
      <c r="A26" s="38" t="inlineStr">
        <is>
          <t>Novembre</t>
        </is>
      </c>
      <c r="B26" s="39" t="inlineStr">
        <is>
          <t>1ère quinzaine</t>
        </is>
      </c>
      <c r="C26" s="39">
        <f>COUNTIFS('Saisie Factures'!A4:A203,"&gt;="&amp;DATE(B$3,11,1),'Saisie Factures'!A4:A203,"&lt;"&amp;DATE(B$3,11+1,1),'Saisie Factures'!B4:B203,"1ère quinzaine")</f>
        <v/>
      </c>
      <c r="D26" s="40">
        <f>SUMPRODUCT((MONTH('Saisie Factures'!A4:A203)=11)*(YEAR('Saisie Factures'!A4:A203)=B$3)*('Saisie Factures'!B4:B203="1ère quinzaine")*('Saisie Factures'!E4:E203))</f>
        <v/>
      </c>
      <c r="E26" s="41">
        <f>SUMPRODUCT((MONTH('Saisie Factures'!A4:A203)=11)*(YEAR('Saisie Factures'!A4:A203)=B$3)*('Saisie Factures'!B4:B203="1ère quinzaine")*('Saisie Factures'!G4:G203))</f>
        <v/>
      </c>
      <c r="F26" s="42">
        <f>IF(D26=0,"",E26/D26)</f>
        <v/>
      </c>
    </row>
    <row r="27">
      <c r="A27" s="27" t="inlineStr">
        <is>
          <t>Novembre</t>
        </is>
      </c>
      <c r="B27" s="28" t="inlineStr">
        <is>
          <t>2ème quinzaine</t>
        </is>
      </c>
      <c r="C27" s="28">
        <f>COUNTIFS('Saisie Factures'!A4:A203,"&gt;="&amp;DATE(B$3,11,1),'Saisie Factures'!A4:A203,"&lt;"&amp;DATE(B$3,11+1,1),'Saisie Factures'!B4:B203,"2ème quinzaine")</f>
        <v/>
      </c>
      <c r="D27" s="29">
        <f>SUMPRODUCT((MONTH('Saisie Factures'!A4:A203)=11)*(YEAR('Saisie Factures'!A4:A203)=B$3)*('Saisie Factures'!B4:B203="2ème quinzaine")*('Saisie Factures'!E4:E203))</f>
        <v/>
      </c>
      <c r="E27" s="30">
        <f>SUMPRODUCT((MONTH('Saisie Factures'!A4:A203)=11)*(YEAR('Saisie Factures'!A4:A203)=B$3)*('Saisie Factures'!B4:B203="2ème quinzaine")*('Saisie Factures'!G4:G203))</f>
        <v/>
      </c>
      <c r="F27" s="31">
        <f>IF(D27=0,"",E27/D27)</f>
        <v/>
      </c>
    </row>
    <row r="28">
      <c r="A28" s="38" t="inlineStr">
        <is>
          <t>Décembre</t>
        </is>
      </c>
      <c r="B28" s="39" t="inlineStr">
        <is>
          <t>1ère quinzaine</t>
        </is>
      </c>
      <c r="C28" s="39">
        <f>COUNTIFS('Saisie Factures'!A4:A203,"&gt;="&amp;DATE(B$3,12,1),'Saisie Factures'!A4:A203,"&lt;"&amp;DATE(B$3,12+1,1),'Saisie Factures'!B4:B203,"1ère quinzaine")</f>
        <v/>
      </c>
      <c r="D28" s="40">
        <f>SUMPRODUCT((MONTH('Saisie Factures'!A4:A203)=12)*(YEAR('Saisie Factures'!A4:A203)=B$3)*('Saisie Factures'!B4:B203="1ère quinzaine")*('Saisie Factures'!E4:E203))</f>
        <v/>
      </c>
      <c r="E28" s="41">
        <f>SUMPRODUCT((MONTH('Saisie Factures'!A4:A203)=12)*(YEAR('Saisie Factures'!A4:A203)=B$3)*('Saisie Factures'!B4:B203="1ère quinzaine")*('Saisie Factures'!G4:G203))</f>
        <v/>
      </c>
      <c r="F28" s="42">
        <f>IF(D28=0,"",E28/D28)</f>
        <v/>
      </c>
    </row>
    <row r="29">
      <c r="A29" s="27" t="inlineStr">
        <is>
          <t>Décembre</t>
        </is>
      </c>
      <c r="B29" s="28" t="inlineStr">
        <is>
          <t>2ème quinzaine</t>
        </is>
      </c>
      <c r="C29" s="28">
        <f>COUNTIFS('Saisie Factures'!A4:A203,"&gt;="&amp;DATE(B$3,12,1),'Saisie Factures'!A4:A203,"&lt;"&amp;DATE(B$3,12+1,1),'Saisie Factures'!B4:B203,"2ème quinzaine")</f>
        <v/>
      </c>
      <c r="D29" s="29">
        <f>SUMPRODUCT((MONTH('Saisie Factures'!A4:A203)=12)*(YEAR('Saisie Factures'!A4:A203)=B$3)*('Saisie Factures'!B4:B203="2ème quinzaine")*('Saisie Factures'!E4:E203))</f>
        <v/>
      </c>
      <c r="E29" s="30">
        <f>SUMPRODUCT((MONTH('Saisie Factures'!A4:A203)=12)*(YEAR('Saisie Factures'!A4:A203)=B$3)*('Saisie Factures'!B4:B203="2ème quinzaine")*('Saisie Factures'!G4:G203))</f>
        <v/>
      </c>
      <c r="F29" s="31">
        <f>IF(D29=0,"",E29/D29)</f>
        <v/>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2026-03-30T13:09:56Z</dcterms:created>
  <dcterms:modified xsi:type="dcterms:W3CDTF">2026-03-30T13:09:56Z</dcterms:modified>
</cp:coreProperties>
</file>