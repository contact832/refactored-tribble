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aisie Factures" sheetId="1" state="visible" r:id="rId1"/>
    <sheet name="Récap Mensuel" sheetId="2" state="visible" r:id="rId2"/>
    <sheet name="Récap par Véhicule" sheetId="3" state="visible" r:id="rId3"/>
    <sheet name="Récap Quinzaine" sheetId="4" state="visible" r:id="rId4"/>
  </sheets>
  <definedNames>
    <definedName name="_xlnm._FilterDatabase" localSheetId="0" hidden="1">'Saisie Factures'!$A$3:$K$224</definedName>
  </definedNames>
  <calcPr calcId="124519" fullCalcOnLoad="1"/>
</workbook>
</file>

<file path=xl/styles.xml><?xml version="1.0" encoding="utf-8"?>
<styleSheet xmlns="http://schemas.openxmlformats.org/spreadsheetml/2006/main">
  <numFmts count="6">
    <numFmt numFmtId="164" formatCode="yyyy-mm-dd"/>
    <numFmt numFmtId="165" formatCode="DD/MM/YYYY"/>
    <numFmt numFmtId="166" formatCode="#,##0.000"/>
    <numFmt numFmtId="167" formatCode="#,##0.00 €"/>
    <numFmt numFmtId="168" formatCode="#,##0.00 L"/>
    <numFmt numFmtId="169" formatCode="#,##0.000 €/L"/>
  </numFmts>
  <fonts count="7">
    <font>
      <name val="Calibri"/>
      <family val="2"/>
      <color theme="1"/>
      <sz val="11"/>
      <scheme val="minor"/>
    </font>
    <font>
      <name val="Calibri"/>
      <b val="1"/>
      <color rgb="00FFFFFF"/>
      <sz val="16"/>
    </font>
    <font>
      <name val="Calibri"/>
      <b val="1"/>
      <color rgb="00FFFFFF"/>
      <sz val="11"/>
    </font>
    <font>
      <name val="Calibri"/>
      <sz val="11"/>
    </font>
    <font>
      <name val="Calibri"/>
      <b val="1"/>
      <sz val="11"/>
    </font>
    <font>
      <name val="Calibri"/>
      <b val="1"/>
      <color rgb="002F5496"/>
      <sz val="14"/>
    </font>
    <font>
      <name val="Calibri"/>
      <b val="1"/>
      <color rgb="00FFFFFF"/>
      <sz val="12"/>
    </font>
  </fonts>
  <fills count="10">
    <fill>
      <patternFill/>
    </fill>
    <fill>
      <patternFill patternType="gray125"/>
    </fill>
    <fill>
      <patternFill patternType="solid">
        <fgColor rgb="002F5496"/>
        <bgColor rgb="002F5496"/>
      </patternFill>
    </fill>
    <fill>
      <patternFill patternType="solid">
        <fgColor rgb="00F2F2F2"/>
        <bgColor rgb="00F2F2F2"/>
      </patternFill>
    </fill>
    <fill>
      <patternFill patternType="solid">
        <fgColor rgb="00ED7D31"/>
        <bgColor rgb="00ED7D31"/>
      </patternFill>
    </fill>
    <fill>
      <patternFill patternType="solid">
        <fgColor rgb="00FCE4D6"/>
        <bgColor rgb="00FCE4D6"/>
      </patternFill>
    </fill>
    <fill>
      <patternFill patternType="solid">
        <fgColor rgb="00548235"/>
        <bgColor rgb="00548235"/>
      </patternFill>
    </fill>
    <fill>
      <patternFill patternType="solid">
        <fgColor rgb="00E2EFDA"/>
        <bgColor rgb="00E2EFDA"/>
      </patternFill>
    </fill>
    <fill>
      <patternFill patternType="solid">
        <fgColor rgb="00C00000"/>
        <bgColor rgb="00C00000"/>
      </patternFill>
    </fill>
    <fill>
      <patternFill patternType="solid">
        <fgColor rgb="00F2DCDB"/>
        <bgColor rgb="00F2DCDB"/>
      </patternFill>
    </fill>
  </fills>
  <borders count="2">
    <border>
      <left/>
      <right/>
      <top/>
      <bottom/>
      <diagonal/>
    </border>
    <border>
      <left style="thin"/>
      <right style="thin"/>
      <top style="thin"/>
      <bottom style="thin"/>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165" fontId="3" fillId="3" borderId="1" applyAlignment="1" pivotButton="0" quotePrefix="0" xfId="0">
      <alignment horizontal="center" vertical="center" wrapText="1"/>
    </xf>
    <xf numFmtId="0" fontId="3" fillId="3" borderId="1" applyAlignment="1" pivotButton="0" quotePrefix="0" xfId="0">
      <alignment horizontal="center" vertical="center" wrapText="1"/>
    </xf>
    <xf numFmtId="4" fontId="3" fillId="3" borderId="1" applyAlignment="1" pivotButton="0" quotePrefix="0" xfId="0">
      <alignment horizontal="center" vertical="center" wrapText="1"/>
    </xf>
    <xf numFmtId="166" fontId="3" fillId="3" borderId="1" applyAlignment="1" pivotButton="0" quotePrefix="0" xfId="0">
      <alignment horizontal="center" vertical="center" wrapText="1"/>
    </xf>
    <xf numFmtId="167" fontId="3" fillId="3" borderId="1" applyAlignment="1" pivotButton="0" quotePrefix="0" xfId="0">
      <alignment horizontal="center" vertical="center" wrapText="1"/>
    </xf>
    <xf numFmtId="3" fontId="3" fillId="3" borderId="1" applyAlignment="1" pivotButton="0" quotePrefix="0" xfId="0">
      <alignment horizontal="center" vertical="center" wrapText="1"/>
    </xf>
    <xf numFmtId="165" fontId="3" fillId="0" borderId="1" applyAlignment="1" pivotButton="0" quotePrefix="0" xfId="0">
      <alignment horizontal="center" vertical="center" wrapText="1"/>
    </xf>
    <xf numFmtId="0" fontId="3" fillId="0" borderId="1" applyAlignment="1" pivotButton="0" quotePrefix="0" xfId="0">
      <alignment horizontal="center" vertical="center" wrapText="1"/>
    </xf>
    <xf numFmtId="4" fontId="3" fillId="0" borderId="1" applyAlignment="1" pivotButton="0" quotePrefix="0" xfId="0">
      <alignment horizontal="center" vertical="center" wrapText="1"/>
    </xf>
    <xf numFmtId="166" fontId="3" fillId="0" borderId="1" applyAlignment="1" pivotButton="0" quotePrefix="0" xfId="0">
      <alignment horizontal="center" vertical="center" wrapText="1"/>
    </xf>
    <xf numFmtId="167" fontId="3" fillId="0" borderId="1" applyAlignment="1" pivotButton="0" quotePrefix="0" xfId="0">
      <alignment horizontal="center" vertical="center" wrapText="1"/>
    </xf>
    <xf numFmtId="3" fontId="3" fillId="0" borderId="1" applyAlignment="1" pivotButton="0" quotePrefix="0" xfId="0">
      <alignment horizontal="center" vertical="center" wrapText="1"/>
    </xf>
    <xf numFmtId="0" fontId="1" fillId="4" borderId="0" applyAlignment="1" pivotButton="0" quotePrefix="0" xfId="0">
      <alignment horizontal="center" vertical="center" wrapText="1"/>
    </xf>
    <xf numFmtId="0" fontId="4" fillId="0" borderId="0" pivotButton="0" quotePrefix="0" xfId="0"/>
    <xf numFmtId="0" fontId="5" fillId="0" borderId="0" pivotButton="0" quotePrefix="0" xfId="0"/>
    <xf numFmtId="0" fontId="2"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0" fillId="5" borderId="1" applyAlignment="1" pivotButton="0" quotePrefix="0" xfId="0">
      <alignment horizontal="center" vertical="center" wrapText="1"/>
    </xf>
    <xf numFmtId="168" fontId="0" fillId="5" borderId="1" applyAlignment="1" pivotButton="0" quotePrefix="0" xfId="0">
      <alignment horizontal="center" vertical="center" wrapText="1"/>
    </xf>
    <xf numFmtId="167" fontId="0" fillId="5" borderId="1" applyAlignment="1" pivotButton="0" quotePrefix="0" xfId="0">
      <alignment horizontal="center" vertical="center" wrapText="1"/>
    </xf>
    <xf numFmtId="169" fontId="0" fillId="5"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1" applyAlignment="1" pivotButton="0" quotePrefix="0" xfId="0">
      <alignment horizontal="center" vertical="center" wrapText="1"/>
    </xf>
    <xf numFmtId="168" fontId="0" fillId="0" borderId="1" applyAlignment="1" pivotButton="0" quotePrefix="0" xfId="0">
      <alignment horizontal="center" vertical="center" wrapText="1"/>
    </xf>
    <xf numFmtId="167" fontId="0" fillId="0" borderId="1" applyAlignment="1" pivotButton="0" quotePrefix="0" xfId="0">
      <alignment horizontal="center" vertical="center" wrapText="1"/>
    </xf>
    <xf numFmtId="169" fontId="0" fillId="0" borderId="1" applyAlignment="1" pivotButton="0" quotePrefix="0" xfId="0">
      <alignment horizontal="center" vertical="center" wrapText="1"/>
    </xf>
    <xf numFmtId="168" fontId="2" fillId="4" borderId="1" applyAlignment="1" pivotButton="0" quotePrefix="0" xfId="0">
      <alignment horizontal="center" vertical="center" wrapText="1"/>
    </xf>
    <xf numFmtId="167" fontId="2" fillId="4" borderId="1" applyAlignment="1" pivotButton="0" quotePrefix="0" xfId="0">
      <alignment horizontal="center" vertical="center" wrapText="1"/>
    </xf>
    <xf numFmtId="169" fontId="2" fillId="4" borderId="1" applyAlignment="1" pivotButton="0" quotePrefix="0" xfId="0">
      <alignment horizontal="center" vertical="center" wrapText="1"/>
    </xf>
    <xf numFmtId="0" fontId="1" fillId="6" borderId="0" applyAlignment="1" pivotButton="0" quotePrefix="0" xfId="0">
      <alignment horizontal="center" vertical="center" wrapText="1"/>
    </xf>
    <xf numFmtId="0" fontId="2"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0" fillId="7" borderId="1" applyAlignment="1" pivotButton="0" quotePrefix="0" xfId="0">
      <alignment horizontal="center" vertical="center" wrapText="1"/>
    </xf>
    <xf numFmtId="168" fontId="0" fillId="7" borderId="1" applyAlignment="1" pivotButton="0" quotePrefix="0" xfId="0">
      <alignment horizontal="center" vertical="center" wrapText="1"/>
    </xf>
    <xf numFmtId="167" fontId="0" fillId="7" borderId="1" applyAlignment="1" pivotButton="0" quotePrefix="0" xfId="0">
      <alignment horizontal="center" vertical="center" wrapText="1"/>
    </xf>
    <xf numFmtId="0" fontId="1" fillId="8" borderId="0" applyAlignment="1" pivotButton="0" quotePrefix="0" xfId="0">
      <alignment horizontal="center" vertical="center" wrapText="1"/>
    </xf>
    <xf numFmtId="0" fontId="2"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0" fillId="9" borderId="1" applyAlignment="1" pivotButton="0" quotePrefix="0" xfId="0">
      <alignment horizontal="center" vertical="center" wrapText="1"/>
    </xf>
    <xf numFmtId="168" fontId="0" fillId="9" borderId="1" applyAlignment="1" pivotButton="0" quotePrefix="0" xfId="0">
      <alignment horizontal="center" vertical="center" wrapText="1"/>
    </xf>
    <xf numFmtId="167" fontId="0" fillId="9" borderId="1" applyAlignment="1" pivotButton="0" quotePrefix="0" xfId="0">
      <alignment horizontal="center" vertical="center" wrapText="1"/>
    </xf>
    <xf numFmtId="169" fontId="0"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Dépenses Mensuelles Carburant</a:t>
            </a:r>
          </a:p>
        </rich>
      </tx>
    </title>
    <plotArea>
      <barChart>
        <barDir val="col"/>
        <grouping val="clustered"/>
        <ser>
          <idx val="0"/>
          <order val="0"/>
          <tx>
            <strRef>
              <f>'Récap Mensuel'!E5</f>
            </strRef>
          </tx>
          <spPr>
            <a:solidFill>
              <a:srgbClr val="2F5496"/>
            </a:solidFill>
            <a:ln>
              <a:prstDash val="solid"/>
            </a:ln>
          </spPr>
          <cat>
            <numRef>
              <f>'Récap Mensuel'!$A$6:$A$17</f>
            </numRef>
          </cat>
          <val>
            <numRef>
              <f>'Récap Mensuel'!$E$6:$E$17</f>
            </numRef>
          </val>
        </ser>
        <ser>
          <idx val="1"/>
          <order val="1"/>
          <tx>
            <strRef>
              <f>'Récap Mensuel'!F5</f>
            </strRef>
          </tx>
          <spPr>
            <a:solidFill>
              <a:srgbClr val="ED7D31"/>
            </a:solidFill>
            <a:ln>
              <a:prstDash val="solid"/>
            </a:ln>
          </spPr>
          <cat>
            <numRef>
              <f>'Récap Mensuel'!$A$6:$A$17</f>
            </numRef>
          </cat>
          <val>
            <numRef>
              <f>'Récap Mensuel'!$F$6:$F$17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Montant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10080000" cy="54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2F5496"/>
    <outlinePr summaryBelow="1" summaryRight="1"/>
    <pageSetUpPr/>
  </sheetPr>
  <dimension ref="A1:K223"/>
  <sheetViews>
    <sheetView workbookViewId="0">
      <pane ySplit="3" topLeftCell="A4" activePane="bottomLeft" state="frozen"/>
      <selection pane="bottomLeft" activeCell="A1" sqref="A1"/>
    </sheetView>
  </sheetViews>
  <sheetFormatPr baseColWidth="8" defaultRowHeight="15"/>
  <cols>
    <col width="13" customWidth="1" min="1" max="1"/>
    <col width="16" customWidth="1" min="2" max="2"/>
    <col width="14" customWidth="1" min="3" max="3"/>
    <col width="18" customWidth="1" min="4" max="4"/>
    <col width="12" customWidth="1" min="5" max="5"/>
    <col width="32" customWidth="1" min="6" max="6"/>
    <col width="12" customWidth="1" min="7" max="7"/>
    <col width="12" customWidth="1" min="8" max="8"/>
    <col width="12" customWidth="1" min="9" max="9"/>
    <col width="16" customWidth="1" min="10" max="10"/>
    <col width="10" customWidth="1" min="11" max="11"/>
  </cols>
  <sheetData>
    <row r="1" ht="40" customHeight="1">
      <c r="A1" s="1" t="inlineStr">
        <is>
          <t>SUIVI DÉPENSES CARBURANT — AMB TRANSPORTS 69</t>
        </is>
      </c>
    </row>
    <row r="3">
      <c r="A3" s="2" t="inlineStr">
        <is>
          <t>Date</t>
        </is>
      </c>
      <c r="B3" s="2" t="inlineStr">
        <is>
          <t>Quinzaine</t>
        </is>
      </c>
      <c r="C3" s="2" t="inlineStr">
        <is>
          <t>Mois</t>
        </is>
      </c>
      <c r="D3" s="2" t="inlineStr">
        <is>
          <t>Véhicule</t>
        </is>
      </c>
      <c r="E3" s="2" t="inlineStr">
        <is>
          <t>N° Carte</t>
        </is>
      </c>
      <c r="F3" s="2" t="inlineStr">
        <is>
          <t>Station</t>
        </is>
      </c>
      <c r="G3" s="2" t="inlineStr">
        <is>
          <t>Produit</t>
        </is>
      </c>
      <c r="H3" s="2" t="inlineStr">
        <is>
          <t>Litres</t>
        </is>
      </c>
      <c r="I3" s="2" t="inlineStr">
        <is>
          <t>Prix/L (€)</t>
        </is>
      </c>
      <c r="J3" s="2" t="inlineStr">
        <is>
          <t>Montant TTC (€)</t>
        </is>
      </c>
      <c r="K3" s="2" t="inlineStr">
        <is>
          <t>Km</t>
        </is>
      </c>
    </row>
    <row r="4">
      <c r="A4" s="3" t="n">
        <v>46086</v>
      </c>
      <c r="B4" s="4" t="inlineStr">
        <is>
          <t>1ère quinzaine</t>
        </is>
      </c>
      <c r="C4" s="4">
        <f>TEXT(A4,"MMMM YYYY")</f>
        <v/>
      </c>
      <c r="D4" s="4" t="inlineStr">
        <is>
          <t>TRAFIC 2</t>
        </is>
      </c>
      <c r="E4" s="4" t="n">
        <v>971635</v>
      </c>
      <c r="F4" s="4" t="inlineStr">
        <is>
          <t>CARREFOUR St. Priest</t>
        </is>
      </c>
      <c r="G4" s="4" t="inlineStr">
        <is>
          <t>Gasoil</t>
        </is>
      </c>
      <c r="H4" s="5" t="n">
        <v>45.95</v>
      </c>
      <c r="I4" s="6" t="n">
        <v>1.939</v>
      </c>
      <c r="J4" s="7" t="n">
        <v>89.09999999999999</v>
      </c>
      <c r="K4" s="8" t="n">
        <v>500</v>
      </c>
    </row>
    <row r="5">
      <c r="A5" s="9" t="n">
        <v>46080</v>
      </c>
      <c r="B5" s="10" t="inlineStr">
        <is>
          <t>2ème quinzaine</t>
        </is>
      </c>
      <c r="C5" s="10">
        <f>TEXT(A5,"MMMM YYYY")</f>
        <v/>
      </c>
      <c r="D5" s="10" t="inlineStr">
        <is>
          <t>SPRINTER 1</t>
        </is>
      </c>
      <c r="E5" s="10" t="n">
        <v>971650</v>
      </c>
      <c r="F5" s="10" t="inlineStr">
        <is>
          <t>LECLERC Saint-Priest-en-Jarez</t>
        </is>
      </c>
      <c r="G5" s="10" t="inlineStr">
        <is>
          <t>Gasoil</t>
        </is>
      </c>
      <c r="H5" s="11" t="n">
        <v>77.09999999999999</v>
      </c>
      <c r="I5" s="12" t="n">
        <v>1.688</v>
      </c>
      <c r="J5" s="13" t="n">
        <v>130.14</v>
      </c>
      <c r="K5" s="14" t="n">
        <v>103000</v>
      </c>
    </row>
    <row r="6">
      <c r="A6" s="3" t="n">
        <v>46083</v>
      </c>
      <c r="B6" s="4" t="inlineStr">
        <is>
          <t>1ère quinzaine</t>
        </is>
      </c>
      <c r="C6" s="4">
        <f>TEXT(A6,"MMMM YYYY")</f>
        <v/>
      </c>
      <c r="D6" s="4" t="inlineStr">
        <is>
          <t>SPRINTER 1</t>
        </is>
      </c>
      <c r="E6" s="4" t="n">
        <v>971650</v>
      </c>
      <c r="F6" s="4" t="inlineStr">
        <is>
          <t>ESSO St Priest</t>
        </is>
      </c>
      <c r="G6" s="4" t="inlineStr">
        <is>
          <t>Adblue</t>
        </is>
      </c>
      <c r="H6" s="5" t="n">
        <v>9.56</v>
      </c>
      <c r="I6" s="6" t="n">
        <v>0.899</v>
      </c>
      <c r="J6" s="7" t="n">
        <v>8.6</v>
      </c>
      <c r="K6" s="8" t="n">
        <v>500</v>
      </c>
    </row>
    <row r="7">
      <c r="A7" s="9" t="n">
        <v>46083</v>
      </c>
      <c r="B7" s="10" t="inlineStr">
        <is>
          <t>1ère quinzaine</t>
        </is>
      </c>
      <c r="C7" s="10">
        <f>TEXT(A7,"MMMM YYYY")</f>
        <v/>
      </c>
      <c r="D7" s="10" t="inlineStr">
        <is>
          <t>SPRINTER 1</t>
        </is>
      </c>
      <c r="E7" s="10" t="n">
        <v>971650</v>
      </c>
      <c r="F7" s="10" t="inlineStr">
        <is>
          <t>ESSO St Priest</t>
        </is>
      </c>
      <c r="G7" s="10" t="inlineStr">
        <is>
          <t>Gasoil</t>
        </is>
      </c>
      <c r="H7" s="11" t="n">
        <v>40.72</v>
      </c>
      <c r="I7" s="12" t="n">
        <v>1.799</v>
      </c>
      <c r="J7" s="13" t="n">
        <v>73.25</v>
      </c>
      <c r="K7" s="14" t="n">
        <v>500</v>
      </c>
    </row>
    <row r="8">
      <c r="A8" s="3" t="n">
        <v>46085</v>
      </c>
      <c r="B8" s="4" t="inlineStr">
        <is>
          <t>1ère quinzaine</t>
        </is>
      </c>
      <c r="C8" s="4">
        <f>TEXT(A8,"MMMM YYYY")</f>
        <v/>
      </c>
      <c r="D8" s="4" t="inlineStr">
        <is>
          <t>SPRINTER 1</t>
        </is>
      </c>
      <c r="E8" s="4" t="n">
        <v>971650</v>
      </c>
      <c r="F8" s="4" t="inlineStr">
        <is>
          <t>Intermarche Barraux</t>
        </is>
      </c>
      <c r="G8" s="4" t="inlineStr">
        <is>
          <t>Gasoil</t>
        </is>
      </c>
      <c r="H8" s="5" t="n">
        <v>65.36</v>
      </c>
      <c r="I8" s="6" t="n">
        <v>1.734</v>
      </c>
      <c r="J8" s="7" t="n">
        <v>113.35</v>
      </c>
      <c r="K8" s="8" t="n">
        <v>5555</v>
      </c>
    </row>
    <row r="9">
      <c r="A9" s="9" t="n">
        <v>46085</v>
      </c>
      <c r="B9" s="10" t="inlineStr">
        <is>
          <t>1ère quinzaine</t>
        </is>
      </c>
      <c r="C9" s="10">
        <f>TEXT(A9,"MMMM YYYY")</f>
        <v/>
      </c>
      <c r="D9" s="10" t="inlineStr">
        <is>
          <t>SPRINTER 1</t>
        </is>
      </c>
      <c r="E9" s="10" t="n">
        <v>971650</v>
      </c>
      <c r="F9" s="10" t="inlineStr">
        <is>
          <t>ESSO St Priest</t>
        </is>
      </c>
      <c r="G9" s="10" t="inlineStr">
        <is>
          <t>Gasoil</t>
        </is>
      </c>
      <c r="H9" s="11" t="n">
        <v>57.32</v>
      </c>
      <c r="I9" s="12" t="n">
        <v>2.059</v>
      </c>
      <c r="J9" s="13" t="n">
        <v>118.02</v>
      </c>
      <c r="K9" s="14" t="n">
        <v>500</v>
      </c>
    </row>
    <row r="10">
      <c r="A10" s="3" t="n">
        <v>46089</v>
      </c>
      <c r="B10" s="4" t="inlineStr">
        <is>
          <t>1ère quinzaine</t>
        </is>
      </c>
      <c r="C10" s="4">
        <f>TEXT(A10,"MMMM YYYY")</f>
        <v/>
      </c>
      <c r="D10" s="4" t="inlineStr">
        <is>
          <t>SPRINTER 1</t>
        </is>
      </c>
      <c r="E10" s="4" t="n">
        <v>971650</v>
      </c>
      <c r="F10" s="4" t="inlineStr">
        <is>
          <t>ESSO EXPRESS St-Laurent-de-Mure</t>
        </is>
      </c>
      <c r="G10" s="4" t="inlineStr">
        <is>
          <t>Gasoil</t>
        </is>
      </c>
      <c r="H10" s="5" t="n">
        <v>50.77</v>
      </c>
      <c r="I10" s="6" t="n">
        <v>2.029</v>
      </c>
      <c r="J10" s="7" t="n">
        <v>103.01</v>
      </c>
      <c r="K10" s="8" t="n">
        <v>500</v>
      </c>
    </row>
    <row r="11">
      <c r="A11" s="9" t="n">
        <v>46091</v>
      </c>
      <c r="B11" s="10" t="inlineStr">
        <is>
          <t>1ère quinzaine</t>
        </is>
      </c>
      <c r="C11" s="10">
        <f>TEXT(A11,"MMMM YYYY")</f>
        <v/>
      </c>
      <c r="D11" s="10" t="inlineStr">
        <is>
          <t>SPRINTER 1</t>
        </is>
      </c>
      <c r="E11" s="10" t="n">
        <v>971650</v>
      </c>
      <c r="F11" s="10" t="inlineStr">
        <is>
          <t>ESSO St Priest</t>
        </is>
      </c>
      <c r="G11" s="10" t="inlineStr">
        <is>
          <t>Gasoil</t>
        </is>
      </c>
      <c r="H11" s="11" t="n">
        <v>41.96</v>
      </c>
      <c r="I11" s="12" t="n">
        <v>2.189</v>
      </c>
      <c r="J11" s="13" t="n">
        <v>91.84999999999999</v>
      </c>
      <c r="K11" s="14" t="n">
        <v>500</v>
      </c>
    </row>
    <row r="12">
      <c r="A12" s="3" t="n">
        <v>46091</v>
      </c>
      <c r="B12" s="4" t="inlineStr">
        <is>
          <t>1ère quinzaine</t>
        </is>
      </c>
      <c r="C12" s="4">
        <f>TEXT(A12,"MMMM YYYY")</f>
        <v/>
      </c>
      <c r="D12" s="4" t="inlineStr">
        <is>
          <t>SPRINTER 1</t>
        </is>
      </c>
      <c r="E12" s="4" t="n">
        <v>971650</v>
      </c>
      <c r="F12" s="4" t="inlineStr">
        <is>
          <t>ESSO St Priest</t>
        </is>
      </c>
      <c r="G12" s="4" t="inlineStr">
        <is>
          <t>Gasoil</t>
        </is>
      </c>
      <c r="H12" s="5" t="n">
        <v>38.38</v>
      </c>
      <c r="I12" s="6" t="n">
        <v>2.189</v>
      </c>
      <c r="J12" s="7" t="n">
        <v>84.01000000000001</v>
      </c>
      <c r="K12" s="8" t="n">
        <v>500</v>
      </c>
    </row>
    <row r="13">
      <c r="A13" s="9" t="n">
        <v>46092</v>
      </c>
      <c r="B13" s="10" t="inlineStr">
        <is>
          <t>1ère quinzaine</t>
        </is>
      </c>
      <c r="C13" s="10">
        <f>TEXT(A13,"MMMM YYYY")</f>
        <v/>
      </c>
      <c r="D13" s="10" t="inlineStr">
        <is>
          <t>SPRINTER 1</t>
        </is>
      </c>
      <c r="E13" s="10" t="n">
        <v>971650</v>
      </c>
      <c r="F13" s="10" t="inlineStr">
        <is>
          <t>AUCHAN Saint-Priest</t>
        </is>
      </c>
      <c r="G13" s="10" t="inlineStr">
        <is>
          <t>Gasoil</t>
        </is>
      </c>
      <c r="H13" s="11" t="n">
        <v>33.76</v>
      </c>
      <c r="I13" s="12" t="n">
        <v>2.053</v>
      </c>
      <c r="J13" s="13" t="n">
        <v>69.29000000000001</v>
      </c>
      <c r="K13" s="14" t="n">
        <v>500</v>
      </c>
    </row>
    <row r="14">
      <c r="A14" s="3" t="n">
        <v>46082</v>
      </c>
      <c r="B14" s="4" t="inlineStr">
        <is>
          <t>1ère quinzaine</t>
        </is>
      </c>
      <c r="C14" s="4">
        <f>TEXT(A14,"MMMM YYYY")</f>
        <v/>
      </c>
      <c r="D14" s="4" t="inlineStr">
        <is>
          <t>TRAFIC 1</t>
        </is>
      </c>
      <c r="E14" s="4" t="n">
        <v>971726</v>
      </c>
      <c r="F14" s="4" t="inlineStr">
        <is>
          <t>ESSO EXPRESS St-Laurent-de-Mure</t>
        </is>
      </c>
      <c r="G14" s="4" t="inlineStr">
        <is>
          <t>Gasoil</t>
        </is>
      </c>
      <c r="H14" s="5" t="n">
        <v>49.36</v>
      </c>
      <c r="I14" s="6" t="n">
        <v>1.738</v>
      </c>
      <c r="J14" s="7" t="n">
        <v>85.79000000000001</v>
      </c>
      <c r="K14" s="8" t="n">
        <v>500</v>
      </c>
    </row>
    <row r="15">
      <c r="A15" s="9" t="n">
        <v>46083</v>
      </c>
      <c r="B15" s="10" t="inlineStr">
        <is>
          <t>1ère quinzaine</t>
        </is>
      </c>
      <c r="C15" s="10">
        <f>TEXT(A15,"MMMM YYYY")</f>
        <v/>
      </c>
      <c r="D15" s="10" t="inlineStr">
        <is>
          <t>TRAFIC 1</t>
        </is>
      </c>
      <c r="E15" s="10" t="n">
        <v>971726</v>
      </c>
      <c r="F15" s="10" t="inlineStr">
        <is>
          <t>ESSO St Priest</t>
        </is>
      </c>
      <c r="G15" s="10" t="inlineStr">
        <is>
          <t>Gasoil</t>
        </is>
      </c>
      <c r="H15" s="11" t="n">
        <v>50.11</v>
      </c>
      <c r="I15" s="12" t="n">
        <v>1.749</v>
      </c>
      <c r="J15" s="13" t="n">
        <v>87.64</v>
      </c>
      <c r="K15" s="14" t="n">
        <v>500</v>
      </c>
    </row>
    <row r="16">
      <c r="A16" s="3" t="n">
        <v>46085</v>
      </c>
      <c r="B16" s="4" t="inlineStr">
        <is>
          <t>1ère quinzaine</t>
        </is>
      </c>
      <c r="C16" s="4">
        <f>TEXT(A16,"MMMM YYYY")</f>
        <v/>
      </c>
      <c r="D16" s="4" t="inlineStr">
        <is>
          <t>TRAFIC 1</t>
        </is>
      </c>
      <c r="E16" s="4" t="n">
        <v>971726</v>
      </c>
      <c r="F16" s="4" t="inlineStr">
        <is>
          <t>LECLERC Saint-Priest-en-Jarez</t>
        </is>
      </c>
      <c r="G16" s="4" t="inlineStr">
        <is>
          <t>Gasoil</t>
        </is>
      </c>
      <c r="H16" s="5" t="n">
        <v>63.39</v>
      </c>
      <c r="I16" s="6" t="n">
        <v>1.856</v>
      </c>
      <c r="J16" s="7" t="n">
        <v>117.65</v>
      </c>
      <c r="K16" s="8" t="n">
        <v>6666</v>
      </c>
    </row>
    <row r="17">
      <c r="A17" s="9" t="n">
        <v>46086</v>
      </c>
      <c r="B17" s="10" t="inlineStr">
        <is>
          <t>1ère quinzaine</t>
        </is>
      </c>
      <c r="C17" s="10">
        <f>TEXT(A17,"MMMM YYYY")</f>
        <v/>
      </c>
      <c r="D17" s="10" t="inlineStr">
        <is>
          <t>TRAFIC 1</t>
        </is>
      </c>
      <c r="E17" s="10" t="n">
        <v>971726</v>
      </c>
      <c r="F17" s="10" t="inlineStr">
        <is>
          <t>LECLERC Saint-Priest-en-Jarez</t>
        </is>
      </c>
      <c r="G17" s="10" t="inlineStr">
        <is>
          <t>Gasoil</t>
        </is>
      </c>
      <c r="H17" s="11" t="n">
        <v>72.66</v>
      </c>
      <c r="I17" s="12" t="n">
        <v>1.953</v>
      </c>
      <c r="J17" s="13" t="n">
        <v>141.91</v>
      </c>
      <c r="K17" s="14" t="n">
        <v>555</v>
      </c>
    </row>
    <row r="18">
      <c r="A18" s="3" t="n">
        <v>46087</v>
      </c>
      <c r="B18" s="4" t="inlineStr">
        <is>
          <t>1ère quinzaine</t>
        </is>
      </c>
      <c r="C18" s="4">
        <f>TEXT(A18,"MMMM YYYY")</f>
        <v/>
      </c>
      <c r="D18" s="4" t="inlineStr">
        <is>
          <t>TRAFIC 1</t>
        </is>
      </c>
      <c r="E18" s="4" t="n">
        <v>971726</v>
      </c>
      <c r="F18" s="4" t="inlineStr">
        <is>
          <t>LECLERC Saint-Priest-en-Jarez</t>
        </is>
      </c>
      <c r="G18" s="4" t="inlineStr">
        <is>
          <t>Gasoil</t>
        </is>
      </c>
      <c r="H18" s="5" t="n">
        <v>71.90000000000001</v>
      </c>
      <c r="I18" s="6" t="n">
        <v>1.963</v>
      </c>
      <c r="J18" s="7" t="n">
        <v>141.14</v>
      </c>
      <c r="K18" s="8" t="n">
        <v>9999</v>
      </c>
    </row>
    <row r="19">
      <c r="A19" s="9" t="n">
        <v>46087</v>
      </c>
      <c r="B19" s="10" t="inlineStr">
        <is>
          <t>1ère quinzaine</t>
        </is>
      </c>
      <c r="C19" s="10">
        <f>TEXT(A19,"MMMM YYYY")</f>
        <v/>
      </c>
      <c r="D19" s="10" t="inlineStr">
        <is>
          <t>TRAFIC 1</t>
        </is>
      </c>
      <c r="E19" s="10" t="n">
        <v>971726</v>
      </c>
      <c r="F19" s="10" t="inlineStr">
        <is>
          <t>AVIA L'Isle-d'Abeau</t>
        </is>
      </c>
      <c r="G19" s="10" t="inlineStr">
        <is>
          <t>Adblue</t>
        </is>
      </c>
      <c r="H19" s="11" t="n">
        <v>0.05</v>
      </c>
      <c r="I19" s="12" t="n">
        <v>0.8</v>
      </c>
      <c r="J19" s="13" t="n">
        <v>0.04</v>
      </c>
      <c r="K19" s="14" t="n">
        <v>500</v>
      </c>
    </row>
    <row r="20">
      <c r="A20" s="3" t="n">
        <v>46090</v>
      </c>
      <c r="B20" s="4" t="inlineStr">
        <is>
          <t>1ère quinzaine</t>
        </is>
      </c>
      <c r="C20" s="4">
        <f>TEXT(A20,"MMMM YYYY")</f>
        <v/>
      </c>
      <c r="D20" s="4" t="inlineStr">
        <is>
          <t>TRAFIC 1</t>
        </is>
      </c>
      <c r="E20" s="4" t="n">
        <v>971726</v>
      </c>
      <c r="F20" s="4" t="inlineStr">
        <is>
          <t>LECLERC Saint-Priest-en-Jarez</t>
        </is>
      </c>
      <c r="G20" s="4" t="inlineStr">
        <is>
          <t>Gasoil</t>
        </is>
      </c>
      <c r="H20" s="5" t="n">
        <v>79.7</v>
      </c>
      <c r="I20" s="6" t="n">
        <v>1.997</v>
      </c>
      <c r="J20" s="7" t="n">
        <v>159.16</v>
      </c>
      <c r="K20" s="8" t="n">
        <v>999</v>
      </c>
    </row>
    <row r="21">
      <c r="A21" s="9" t="n">
        <v>46091</v>
      </c>
      <c r="B21" s="10" t="inlineStr">
        <is>
          <t>1ère quinzaine</t>
        </is>
      </c>
      <c r="C21" s="10">
        <f>TEXT(A21,"MMMM YYYY")</f>
        <v/>
      </c>
      <c r="D21" s="10" t="inlineStr">
        <is>
          <t>TRAFIC 1</t>
        </is>
      </c>
      <c r="E21" s="10" t="n">
        <v>971726</v>
      </c>
      <c r="F21" s="10" t="inlineStr">
        <is>
          <t>LECLERC Saint-Priest-en-Jarez</t>
        </is>
      </c>
      <c r="G21" s="10" t="inlineStr">
        <is>
          <t>Gasoil</t>
        </is>
      </c>
      <c r="H21" s="11" t="n">
        <v>74.87</v>
      </c>
      <c r="I21" s="12" t="n">
        <v>2.059</v>
      </c>
      <c r="J21" s="13" t="n">
        <v>154.16</v>
      </c>
      <c r="K21" s="14" t="n">
        <v>6666</v>
      </c>
    </row>
    <row r="22">
      <c r="A22" s="3" t="n">
        <v>46092</v>
      </c>
      <c r="B22" s="4" t="inlineStr">
        <is>
          <t>1ère quinzaine</t>
        </is>
      </c>
      <c r="C22" s="4">
        <f>TEXT(A22,"MMMM YYYY")</f>
        <v/>
      </c>
      <c r="D22" s="4" t="inlineStr">
        <is>
          <t>TRAFIC 1</t>
        </is>
      </c>
      <c r="E22" s="4" t="n">
        <v>971726</v>
      </c>
      <c r="F22" s="4" t="inlineStr">
        <is>
          <t>LECLERC Saint-Priest-en-Jarez</t>
        </is>
      </c>
      <c r="G22" s="4" t="inlineStr">
        <is>
          <t>Gasoil</t>
        </is>
      </c>
      <c r="H22" s="5" t="n">
        <v>75.2</v>
      </c>
      <c r="I22" s="6" t="n">
        <v>1.99</v>
      </c>
      <c r="J22" s="7" t="n">
        <v>149.65</v>
      </c>
      <c r="K22" s="8" t="n">
        <v>9999</v>
      </c>
    </row>
    <row r="23">
      <c r="A23" s="9" t="n">
        <v>46093</v>
      </c>
      <c r="B23" s="10" t="inlineStr">
        <is>
          <t>1ère quinzaine</t>
        </is>
      </c>
      <c r="C23" s="10">
        <f>TEXT(A23,"MMMM YYYY")</f>
        <v/>
      </c>
      <c r="D23" s="10" t="inlineStr">
        <is>
          <t>TRAFIC 1</t>
        </is>
      </c>
      <c r="E23" s="10" t="n">
        <v>971726</v>
      </c>
      <c r="F23" s="10" t="inlineStr">
        <is>
          <t>LECLERC Saint-Priest-en-Jarez</t>
        </is>
      </c>
      <c r="G23" s="10" t="inlineStr">
        <is>
          <t>Gasoil</t>
        </is>
      </c>
      <c r="H23" s="11" t="n">
        <v>74.88</v>
      </c>
      <c r="I23" s="12" t="n">
        <v>1.99</v>
      </c>
      <c r="J23" s="13" t="n">
        <v>149.01</v>
      </c>
      <c r="K23" s="14" t="n">
        <v>6666</v>
      </c>
    </row>
    <row r="24">
      <c r="A24" s="3" t="n"/>
      <c r="B24" s="4" t="n"/>
      <c r="C24" s="4">
        <f>IF(A24="","",TEXT(A24,"MMMM YYYY"))</f>
        <v/>
      </c>
      <c r="D24" s="4" t="n"/>
      <c r="E24" s="4" t="n"/>
      <c r="F24" s="4" t="n"/>
      <c r="G24" s="4" t="n"/>
      <c r="H24" s="5" t="n"/>
      <c r="I24" s="6" t="n"/>
      <c r="J24" s="7">
        <f>IF(AND(H24&lt;&gt;"",I24&lt;&gt;""),H24*I24,"")</f>
        <v/>
      </c>
      <c r="K24" s="8" t="n"/>
    </row>
    <row r="25">
      <c r="A25" s="9" t="n"/>
      <c r="B25" s="10" t="n"/>
      <c r="C25" s="10">
        <f>IF(A25="","",TEXT(A25,"MMMM YYYY"))</f>
        <v/>
      </c>
      <c r="D25" s="10" t="n"/>
      <c r="E25" s="10" t="n"/>
      <c r="F25" s="10" t="n"/>
      <c r="G25" s="10" t="n"/>
      <c r="H25" s="11" t="n"/>
      <c r="I25" s="12" t="n"/>
      <c r="J25" s="13">
        <f>IF(AND(H25&lt;&gt;"",I25&lt;&gt;""),H25*I25,"")</f>
        <v/>
      </c>
      <c r="K25" s="14" t="n"/>
    </row>
    <row r="26">
      <c r="A26" s="3" t="n"/>
      <c r="B26" s="4" t="n"/>
      <c r="C26" s="4">
        <f>IF(A26="","",TEXT(A26,"MMMM YYYY"))</f>
        <v/>
      </c>
      <c r="D26" s="4" t="n"/>
      <c r="E26" s="4" t="n"/>
      <c r="F26" s="4" t="n"/>
      <c r="G26" s="4" t="n"/>
      <c r="H26" s="5" t="n"/>
      <c r="I26" s="6" t="n"/>
      <c r="J26" s="7">
        <f>IF(AND(H26&lt;&gt;"",I26&lt;&gt;""),H26*I26,"")</f>
        <v/>
      </c>
      <c r="K26" s="8" t="n"/>
    </row>
    <row r="27">
      <c r="A27" s="9" t="n"/>
      <c r="B27" s="10" t="n"/>
      <c r="C27" s="10">
        <f>IF(A27="","",TEXT(A27,"MMMM YYYY"))</f>
        <v/>
      </c>
      <c r="D27" s="10" t="n"/>
      <c r="E27" s="10" t="n"/>
      <c r="F27" s="10" t="n"/>
      <c r="G27" s="10" t="n"/>
      <c r="H27" s="11" t="n"/>
      <c r="I27" s="12" t="n"/>
      <c r="J27" s="13">
        <f>IF(AND(H27&lt;&gt;"",I27&lt;&gt;""),H27*I27,"")</f>
        <v/>
      </c>
      <c r="K27" s="14" t="n"/>
    </row>
    <row r="28">
      <c r="A28" s="3" t="n"/>
      <c r="B28" s="4" t="n"/>
      <c r="C28" s="4">
        <f>IF(A28="","",TEXT(A28,"MMMM YYYY"))</f>
        <v/>
      </c>
      <c r="D28" s="4" t="n"/>
      <c r="E28" s="4" t="n"/>
      <c r="F28" s="4" t="n"/>
      <c r="G28" s="4" t="n"/>
      <c r="H28" s="5" t="n"/>
      <c r="I28" s="6" t="n"/>
      <c r="J28" s="7">
        <f>IF(AND(H28&lt;&gt;"",I28&lt;&gt;""),H28*I28,"")</f>
        <v/>
      </c>
      <c r="K28" s="8" t="n"/>
    </row>
    <row r="29">
      <c r="A29" s="9" t="n"/>
      <c r="B29" s="10" t="n"/>
      <c r="C29" s="10">
        <f>IF(A29="","",TEXT(A29,"MMMM YYYY"))</f>
        <v/>
      </c>
      <c r="D29" s="10" t="n"/>
      <c r="E29" s="10" t="n"/>
      <c r="F29" s="10" t="n"/>
      <c r="G29" s="10" t="n"/>
      <c r="H29" s="11" t="n"/>
      <c r="I29" s="12" t="n"/>
      <c r="J29" s="13">
        <f>IF(AND(H29&lt;&gt;"",I29&lt;&gt;""),H29*I29,"")</f>
        <v/>
      </c>
      <c r="K29" s="14" t="n"/>
    </row>
    <row r="30">
      <c r="A30" s="3" t="n"/>
      <c r="B30" s="4" t="n"/>
      <c r="C30" s="4">
        <f>IF(A30="","",TEXT(A30,"MMMM YYYY"))</f>
        <v/>
      </c>
      <c r="D30" s="4" t="n"/>
      <c r="E30" s="4" t="n"/>
      <c r="F30" s="4" t="n"/>
      <c r="G30" s="4" t="n"/>
      <c r="H30" s="5" t="n"/>
      <c r="I30" s="6" t="n"/>
      <c r="J30" s="7">
        <f>IF(AND(H30&lt;&gt;"",I30&lt;&gt;""),H30*I30,"")</f>
        <v/>
      </c>
      <c r="K30" s="8" t="n"/>
    </row>
    <row r="31">
      <c r="A31" s="9" t="n"/>
      <c r="B31" s="10" t="n"/>
      <c r="C31" s="10">
        <f>IF(A31="","",TEXT(A31,"MMMM YYYY"))</f>
        <v/>
      </c>
      <c r="D31" s="10" t="n"/>
      <c r="E31" s="10" t="n"/>
      <c r="F31" s="10" t="n"/>
      <c r="G31" s="10" t="n"/>
      <c r="H31" s="11" t="n"/>
      <c r="I31" s="12" t="n"/>
      <c r="J31" s="13">
        <f>IF(AND(H31&lt;&gt;"",I31&lt;&gt;""),H31*I31,"")</f>
        <v/>
      </c>
      <c r="K31" s="14" t="n"/>
    </row>
    <row r="32">
      <c r="A32" s="3" t="n"/>
      <c r="B32" s="4" t="n"/>
      <c r="C32" s="4">
        <f>IF(A32="","",TEXT(A32,"MMMM YYYY"))</f>
        <v/>
      </c>
      <c r="D32" s="4" t="n"/>
      <c r="E32" s="4" t="n"/>
      <c r="F32" s="4" t="n"/>
      <c r="G32" s="4" t="n"/>
      <c r="H32" s="5" t="n"/>
      <c r="I32" s="6" t="n"/>
      <c r="J32" s="7">
        <f>IF(AND(H32&lt;&gt;"",I32&lt;&gt;""),H32*I32,"")</f>
        <v/>
      </c>
      <c r="K32" s="8" t="n"/>
    </row>
    <row r="33">
      <c r="A33" s="9" t="n"/>
      <c r="B33" s="10" t="n"/>
      <c r="C33" s="10">
        <f>IF(A33="","",TEXT(A33,"MMMM YYYY"))</f>
        <v/>
      </c>
      <c r="D33" s="10" t="n"/>
      <c r="E33" s="10" t="n"/>
      <c r="F33" s="10" t="n"/>
      <c r="G33" s="10" t="n"/>
      <c r="H33" s="11" t="n"/>
      <c r="I33" s="12" t="n"/>
      <c r="J33" s="13">
        <f>IF(AND(H33&lt;&gt;"",I33&lt;&gt;""),H33*I33,"")</f>
        <v/>
      </c>
      <c r="K33" s="14" t="n"/>
    </row>
    <row r="34">
      <c r="A34" s="3" t="n"/>
      <c r="B34" s="4" t="n"/>
      <c r="C34" s="4">
        <f>IF(A34="","",TEXT(A34,"MMMM YYYY"))</f>
        <v/>
      </c>
      <c r="D34" s="4" t="n"/>
      <c r="E34" s="4" t="n"/>
      <c r="F34" s="4" t="n"/>
      <c r="G34" s="4" t="n"/>
      <c r="H34" s="5" t="n"/>
      <c r="I34" s="6" t="n"/>
      <c r="J34" s="7">
        <f>IF(AND(H34&lt;&gt;"",I34&lt;&gt;""),H34*I34,"")</f>
        <v/>
      </c>
      <c r="K34" s="8" t="n"/>
    </row>
    <row r="35">
      <c r="A35" s="9" t="n"/>
      <c r="B35" s="10" t="n"/>
      <c r="C35" s="10">
        <f>IF(A35="","",TEXT(A35,"MMMM YYYY"))</f>
        <v/>
      </c>
      <c r="D35" s="10" t="n"/>
      <c r="E35" s="10" t="n"/>
      <c r="F35" s="10" t="n"/>
      <c r="G35" s="10" t="n"/>
      <c r="H35" s="11" t="n"/>
      <c r="I35" s="12" t="n"/>
      <c r="J35" s="13">
        <f>IF(AND(H35&lt;&gt;"",I35&lt;&gt;""),H35*I35,"")</f>
        <v/>
      </c>
      <c r="K35" s="14" t="n"/>
    </row>
    <row r="36">
      <c r="A36" s="3" t="n"/>
      <c r="B36" s="4" t="n"/>
      <c r="C36" s="4">
        <f>IF(A36="","",TEXT(A36,"MMMM YYYY"))</f>
        <v/>
      </c>
      <c r="D36" s="4" t="n"/>
      <c r="E36" s="4" t="n"/>
      <c r="F36" s="4" t="n"/>
      <c r="G36" s="4" t="n"/>
      <c r="H36" s="5" t="n"/>
      <c r="I36" s="6" t="n"/>
      <c r="J36" s="7">
        <f>IF(AND(H36&lt;&gt;"",I36&lt;&gt;""),H36*I36,"")</f>
        <v/>
      </c>
      <c r="K36" s="8" t="n"/>
    </row>
    <row r="37">
      <c r="A37" s="9" t="n"/>
      <c r="B37" s="10" t="n"/>
      <c r="C37" s="10">
        <f>IF(A37="","",TEXT(A37,"MMMM YYYY"))</f>
        <v/>
      </c>
      <c r="D37" s="10" t="n"/>
      <c r="E37" s="10" t="n"/>
      <c r="F37" s="10" t="n"/>
      <c r="G37" s="10" t="n"/>
      <c r="H37" s="11" t="n"/>
      <c r="I37" s="12" t="n"/>
      <c r="J37" s="13">
        <f>IF(AND(H37&lt;&gt;"",I37&lt;&gt;""),H37*I37,"")</f>
        <v/>
      </c>
      <c r="K37" s="14" t="n"/>
    </row>
    <row r="38">
      <c r="A38" s="3" t="n"/>
      <c r="B38" s="4" t="n"/>
      <c r="C38" s="4">
        <f>IF(A38="","",TEXT(A38,"MMMM YYYY"))</f>
        <v/>
      </c>
      <c r="D38" s="4" t="n"/>
      <c r="E38" s="4" t="n"/>
      <c r="F38" s="4" t="n"/>
      <c r="G38" s="4" t="n"/>
      <c r="H38" s="5" t="n"/>
      <c r="I38" s="6" t="n"/>
      <c r="J38" s="7">
        <f>IF(AND(H38&lt;&gt;"",I38&lt;&gt;""),H38*I38,"")</f>
        <v/>
      </c>
      <c r="K38" s="8" t="n"/>
    </row>
    <row r="39">
      <c r="A39" s="9" t="n"/>
      <c r="B39" s="10" t="n"/>
      <c r="C39" s="10">
        <f>IF(A39="","",TEXT(A39,"MMMM YYYY"))</f>
        <v/>
      </c>
      <c r="D39" s="10" t="n"/>
      <c r="E39" s="10" t="n"/>
      <c r="F39" s="10" t="n"/>
      <c r="G39" s="10" t="n"/>
      <c r="H39" s="11" t="n"/>
      <c r="I39" s="12" t="n"/>
      <c r="J39" s="13">
        <f>IF(AND(H39&lt;&gt;"",I39&lt;&gt;""),H39*I39,"")</f>
        <v/>
      </c>
      <c r="K39" s="14" t="n"/>
    </row>
    <row r="40">
      <c r="A40" s="3" t="n"/>
      <c r="B40" s="4" t="n"/>
      <c r="C40" s="4">
        <f>IF(A40="","",TEXT(A40,"MMMM YYYY"))</f>
        <v/>
      </c>
      <c r="D40" s="4" t="n"/>
      <c r="E40" s="4" t="n"/>
      <c r="F40" s="4" t="n"/>
      <c r="G40" s="4" t="n"/>
      <c r="H40" s="5" t="n"/>
      <c r="I40" s="6" t="n"/>
      <c r="J40" s="7">
        <f>IF(AND(H40&lt;&gt;"",I40&lt;&gt;""),H40*I40,"")</f>
        <v/>
      </c>
      <c r="K40" s="8" t="n"/>
    </row>
    <row r="41">
      <c r="A41" s="9" t="n"/>
      <c r="B41" s="10" t="n"/>
      <c r="C41" s="10">
        <f>IF(A41="","",TEXT(A41,"MMMM YYYY"))</f>
        <v/>
      </c>
      <c r="D41" s="10" t="n"/>
      <c r="E41" s="10" t="n"/>
      <c r="F41" s="10" t="n"/>
      <c r="G41" s="10" t="n"/>
      <c r="H41" s="11" t="n"/>
      <c r="I41" s="12" t="n"/>
      <c r="J41" s="13">
        <f>IF(AND(H41&lt;&gt;"",I41&lt;&gt;""),H41*I41,"")</f>
        <v/>
      </c>
      <c r="K41" s="14" t="n"/>
    </row>
    <row r="42">
      <c r="A42" s="3" t="n"/>
      <c r="B42" s="4" t="n"/>
      <c r="C42" s="4">
        <f>IF(A42="","",TEXT(A42,"MMMM YYYY"))</f>
        <v/>
      </c>
      <c r="D42" s="4" t="n"/>
      <c r="E42" s="4" t="n"/>
      <c r="F42" s="4" t="n"/>
      <c r="G42" s="4" t="n"/>
      <c r="H42" s="5" t="n"/>
      <c r="I42" s="6" t="n"/>
      <c r="J42" s="7">
        <f>IF(AND(H42&lt;&gt;"",I42&lt;&gt;""),H42*I42,"")</f>
        <v/>
      </c>
      <c r="K42" s="8" t="n"/>
    </row>
    <row r="43">
      <c r="A43" s="9" t="n"/>
      <c r="B43" s="10" t="n"/>
      <c r="C43" s="10">
        <f>IF(A43="","",TEXT(A43,"MMMM YYYY"))</f>
        <v/>
      </c>
      <c r="D43" s="10" t="n"/>
      <c r="E43" s="10" t="n"/>
      <c r="F43" s="10" t="n"/>
      <c r="G43" s="10" t="n"/>
      <c r="H43" s="11" t="n"/>
      <c r="I43" s="12" t="n"/>
      <c r="J43" s="13">
        <f>IF(AND(H43&lt;&gt;"",I43&lt;&gt;""),H43*I43,"")</f>
        <v/>
      </c>
      <c r="K43" s="14" t="n"/>
    </row>
    <row r="44">
      <c r="A44" s="3" t="n"/>
      <c r="B44" s="4" t="n"/>
      <c r="C44" s="4">
        <f>IF(A44="","",TEXT(A44,"MMMM YYYY"))</f>
        <v/>
      </c>
      <c r="D44" s="4" t="n"/>
      <c r="E44" s="4" t="n"/>
      <c r="F44" s="4" t="n"/>
      <c r="G44" s="4" t="n"/>
      <c r="H44" s="5" t="n"/>
      <c r="I44" s="6" t="n"/>
      <c r="J44" s="7">
        <f>IF(AND(H44&lt;&gt;"",I44&lt;&gt;""),H44*I44,"")</f>
        <v/>
      </c>
      <c r="K44" s="8" t="n"/>
    </row>
    <row r="45">
      <c r="A45" s="9" t="n"/>
      <c r="B45" s="10" t="n"/>
      <c r="C45" s="10">
        <f>IF(A45="","",TEXT(A45,"MMMM YYYY"))</f>
        <v/>
      </c>
      <c r="D45" s="10" t="n"/>
      <c r="E45" s="10" t="n"/>
      <c r="F45" s="10" t="n"/>
      <c r="G45" s="10" t="n"/>
      <c r="H45" s="11" t="n"/>
      <c r="I45" s="12" t="n"/>
      <c r="J45" s="13">
        <f>IF(AND(H45&lt;&gt;"",I45&lt;&gt;""),H45*I45,"")</f>
        <v/>
      </c>
      <c r="K45" s="14" t="n"/>
    </row>
    <row r="46">
      <c r="A46" s="3" t="n"/>
      <c r="B46" s="4" t="n"/>
      <c r="C46" s="4">
        <f>IF(A46="","",TEXT(A46,"MMMM YYYY"))</f>
        <v/>
      </c>
      <c r="D46" s="4" t="n"/>
      <c r="E46" s="4" t="n"/>
      <c r="F46" s="4" t="n"/>
      <c r="G46" s="4" t="n"/>
      <c r="H46" s="5" t="n"/>
      <c r="I46" s="6" t="n"/>
      <c r="J46" s="7">
        <f>IF(AND(H46&lt;&gt;"",I46&lt;&gt;""),H46*I46,"")</f>
        <v/>
      </c>
      <c r="K46" s="8" t="n"/>
    </row>
    <row r="47">
      <c r="A47" s="9" t="n"/>
      <c r="B47" s="10" t="n"/>
      <c r="C47" s="10">
        <f>IF(A47="","",TEXT(A47,"MMMM YYYY"))</f>
        <v/>
      </c>
      <c r="D47" s="10" t="n"/>
      <c r="E47" s="10" t="n"/>
      <c r="F47" s="10" t="n"/>
      <c r="G47" s="10" t="n"/>
      <c r="H47" s="11" t="n"/>
      <c r="I47" s="12" t="n"/>
      <c r="J47" s="13">
        <f>IF(AND(H47&lt;&gt;"",I47&lt;&gt;""),H47*I47,"")</f>
        <v/>
      </c>
      <c r="K47" s="14" t="n"/>
    </row>
    <row r="48">
      <c r="A48" s="3" t="n"/>
      <c r="B48" s="4" t="n"/>
      <c r="C48" s="4">
        <f>IF(A48="","",TEXT(A48,"MMMM YYYY"))</f>
        <v/>
      </c>
      <c r="D48" s="4" t="n"/>
      <c r="E48" s="4" t="n"/>
      <c r="F48" s="4" t="n"/>
      <c r="G48" s="4" t="n"/>
      <c r="H48" s="5" t="n"/>
      <c r="I48" s="6" t="n"/>
      <c r="J48" s="7">
        <f>IF(AND(H48&lt;&gt;"",I48&lt;&gt;""),H48*I48,"")</f>
        <v/>
      </c>
      <c r="K48" s="8" t="n"/>
    </row>
    <row r="49">
      <c r="A49" s="9" t="n"/>
      <c r="B49" s="10" t="n"/>
      <c r="C49" s="10">
        <f>IF(A49="","",TEXT(A49,"MMMM YYYY"))</f>
        <v/>
      </c>
      <c r="D49" s="10" t="n"/>
      <c r="E49" s="10" t="n"/>
      <c r="F49" s="10" t="n"/>
      <c r="G49" s="10" t="n"/>
      <c r="H49" s="11" t="n"/>
      <c r="I49" s="12" t="n"/>
      <c r="J49" s="13">
        <f>IF(AND(H49&lt;&gt;"",I49&lt;&gt;""),H49*I49,"")</f>
        <v/>
      </c>
      <c r="K49" s="14" t="n"/>
    </row>
    <row r="50">
      <c r="A50" s="3" t="n"/>
      <c r="B50" s="4" t="n"/>
      <c r="C50" s="4">
        <f>IF(A50="","",TEXT(A50,"MMMM YYYY"))</f>
        <v/>
      </c>
      <c r="D50" s="4" t="n"/>
      <c r="E50" s="4" t="n"/>
      <c r="F50" s="4" t="n"/>
      <c r="G50" s="4" t="n"/>
      <c r="H50" s="5" t="n"/>
      <c r="I50" s="6" t="n"/>
      <c r="J50" s="7">
        <f>IF(AND(H50&lt;&gt;"",I50&lt;&gt;""),H50*I50,"")</f>
        <v/>
      </c>
      <c r="K50" s="8" t="n"/>
    </row>
    <row r="51">
      <c r="A51" s="9" t="n"/>
      <c r="B51" s="10" t="n"/>
      <c r="C51" s="10">
        <f>IF(A51="","",TEXT(A51,"MMMM YYYY"))</f>
        <v/>
      </c>
      <c r="D51" s="10" t="n"/>
      <c r="E51" s="10" t="n"/>
      <c r="F51" s="10" t="n"/>
      <c r="G51" s="10" t="n"/>
      <c r="H51" s="11" t="n"/>
      <c r="I51" s="12" t="n"/>
      <c r="J51" s="13">
        <f>IF(AND(H51&lt;&gt;"",I51&lt;&gt;""),H51*I51,"")</f>
        <v/>
      </c>
      <c r="K51" s="14" t="n"/>
    </row>
    <row r="52">
      <c r="A52" s="3" t="n"/>
      <c r="B52" s="4" t="n"/>
      <c r="C52" s="4">
        <f>IF(A52="","",TEXT(A52,"MMMM YYYY"))</f>
        <v/>
      </c>
      <c r="D52" s="4" t="n"/>
      <c r="E52" s="4" t="n"/>
      <c r="F52" s="4" t="n"/>
      <c r="G52" s="4" t="n"/>
      <c r="H52" s="5" t="n"/>
      <c r="I52" s="6" t="n"/>
      <c r="J52" s="7">
        <f>IF(AND(H52&lt;&gt;"",I52&lt;&gt;""),H52*I52,"")</f>
        <v/>
      </c>
      <c r="K52" s="8" t="n"/>
    </row>
    <row r="53">
      <c r="A53" s="9" t="n"/>
      <c r="B53" s="10" t="n"/>
      <c r="C53" s="10">
        <f>IF(A53="","",TEXT(A53,"MMMM YYYY"))</f>
        <v/>
      </c>
      <c r="D53" s="10" t="n"/>
      <c r="E53" s="10" t="n"/>
      <c r="F53" s="10" t="n"/>
      <c r="G53" s="10" t="n"/>
      <c r="H53" s="11" t="n"/>
      <c r="I53" s="12" t="n"/>
      <c r="J53" s="13">
        <f>IF(AND(H53&lt;&gt;"",I53&lt;&gt;""),H53*I53,"")</f>
        <v/>
      </c>
      <c r="K53" s="14" t="n"/>
    </row>
    <row r="54">
      <c r="A54" s="3" t="n"/>
      <c r="B54" s="4" t="n"/>
      <c r="C54" s="4">
        <f>IF(A54="","",TEXT(A54,"MMMM YYYY"))</f>
        <v/>
      </c>
      <c r="D54" s="4" t="n"/>
      <c r="E54" s="4" t="n"/>
      <c r="F54" s="4" t="n"/>
      <c r="G54" s="4" t="n"/>
      <c r="H54" s="5" t="n"/>
      <c r="I54" s="6" t="n"/>
      <c r="J54" s="7">
        <f>IF(AND(H54&lt;&gt;"",I54&lt;&gt;""),H54*I54,"")</f>
        <v/>
      </c>
      <c r="K54" s="8" t="n"/>
    </row>
    <row r="55">
      <c r="A55" s="9" t="n"/>
      <c r="B55" s="10" t="n"/>
      <c r="C55" s="10">
        <f>IF(A55="","",TEXT(A55,"MMMM YYYY"))</f>
        <v/>
      </c>
      <c r="D55" s="10" t="n"/>
      <c r="E55" s="10" t="n"/>
      <c r="F55" s="10" t="n"/>
      <c r="G55" s="10" t="n"/>
      <c r="H55" s="11" t="n"/>
      <c r="I55" s="12" t="n"/>
      <c r="J55" s="13">
        <f>IF(AND(H55&lt;&gt;"",I55&lt;&gt;""),H55*I55,"")</f>
        <v/>
      </c>
      <c r="K55" s="14" t="n"/>
    </row>
    <row r="56">
      <c r="A56" s="3" t="n"/>
      <c r="B56" s="4" t="n"/>
      <c r="C56" s="4">
        <f>IF(A56="","",TEXT(A56,"MMMM YYYY"))</f>
        <v/>
      </c>
      <c r="D56" s="4" t="n"/>
      <c r="E56" s="4" t="n"/>
      <c r="F56" s="4" t="n"/>
      <c r="G56" s="4" t="n"/>
      <c r="H56" s="5" t="n"/>
      <c r="I56" s="6" t="n"/>
      <c r="J56" s="7">
        <f>IF(AND(H56&lt;&gt;"",I56&lt;&gt;""),H56*I56,"")</f>
        <v/>
      </c>
      <c r="K56" s="8" t="n"/>
    </row>
    <row r="57">
      <c r="A57" s="9" t="n"/>
      <c r="B57" s="10" t="n"/>
      <c r="C57" s="10">
        <f>IF(A57="","",TEXT(A57,"MMMM YYYY"))</f>
        <v/>
      </c>
      <c r="D57" s="10" t="n"/>
      <c r="E57" s="10" t="n"/>
      <c r="F57" s="10" t="n"/>
      <c r="G57" s="10" t="n"/>
      <c r="H57" s="11" t="n"/>
      <c r="I57" s="12" t="n"/>
      <c r="J57" s="13">
        <f>IF(AND(H57&lt;&gt;"",I57&lt;&gt;""),H57*I57,"")</f>
        <v/>
      </c>
      <c r="K57" s="14" t="n"/>
    </row>
    <row r="58">
      <c r="A58" s="3" t="n"/>
      <c r="B58" s="4" t="n"/>
      <c r="C58" s="4">
        <f>IF(A58="","",TEXT(A58,"MMMM YYYY"))</f>
        <v/>
      </c>
      <c r="D58" s="4" t="n"/>
      <c r="E58" s="4" t="n"/>
      <c r="F58" s="4" t="n"/>
      <c r="G58" s="4" t="n"/>
      <c r="H58" s="5" t="n"/>
      <c r="I58" s="6" t="n"/>
      <c r="J58" s="7">
        <f>IF(AND(H58&lt;&gt;"",I58&lt;&gt;""),H58*I58,"")</f>
        <v/>
      </c>
      <c r="K58" s="8" t="n"/>
    </row>
    <row r="59">
      <c r="A59" s="9" t="n"/>
      <c r="B59" s="10" t="n"/>
      <c r="C59" s="10">
        <f>IF(A59="","",TEXT(A59,"MMMM YYYY"))</f>
        <v/>
      </c>
      <c r="D59" s="10" t="n"/>
      <c r="E59" s="10" t="n"/>
      <c r="F59" s="10" t="n"/>
      <c r="G59" s="10" t="n"/>
      <c r="H59" s="11" t="n"/>
      <c r="I59" s="12" t="n"/>
      <c r="J59" s="13">
        <f>IF(AND(H59&lt;&gt;"",I59&lt;&gt;""),H59*I59,"")</f>
        <v/>
      </c>
      <c r="K59" s="14" t="n"/>
    </row>
    <row r="60">
      <c r="A60" s="3" t="n"/>
      <c r="B60" s="4" t="n"/>
      <c r="C60" s="4">
        <f>IF(A60="","",TEXT(A60,"MMMM YYYY"))</f>
        <v/>
      </c>
      <c r="D60" s="4" t="n"/>
      <c r="E60" s="4" t="n"/>
      <c r="F60" s="4" t="n"/>
      <c r="G60" s="4" t="n"/>
      <c r="H60" s="5" t="n"/>
      <c r="I60" s="6" t="n"/>
      <c r="J60" s="7">
        <f>IF(AND(H60&lt;&gt;"",I60&lt;&gt;""),H60*I60,"")</f>
        <v/>
      </c>
      <c r="K60" s="8" t="n"/>
    </row>
    <row r="61">
      <c r="A61" s="9" t="n"/>
      <c r="B61" s="10" t="n"/>
      <c r="C61" s="10">
        <f>IF(A61="","",TEXT(A61,"MMMM YYYY"))</f>
        <v/>
      </c>
      <c r="D61" s="10" t="n"/>
      <c r="E61" s="10" t="n"/>
      <c r="F61" s="10" t="n"/>
      <c r="G61" s="10" t="n"/>
      <c r="H61" s="11" t="n"/>
      <c r="I61" s="12" t="n"/>
      <c r="J61" s="13">
        <f>IF(AND(H61&lt;&gt;"",I61&lt;&gt;""),H61*I61,"")</f>
        <v/>
      </c>
      <c r="K61" s="14" t="n"/>
    </row>
    <row r="62">
      <c r="A62" s="3" t="n"/>
      <c r="B62" s="4" t="n"/>
      <c r="C62" s="4">
        <f>IF(A62="","",TEXT(A62,"MMMM YYYY"))</f>
        <v/>
      </c>
      <c r="D62" s="4" t="n"/>
      <c r="E62" s="4" t="n"/>
      <c r="F62" s="4" t="n"/>
      <c r="G62" s="4" t="n"/>
      <c r="H62" s="5" t="n"/>
      <c r="I62" s="6" t="n"/>
      <c r="J62" s="7">
        <f>IF(AND(H62&lt;&gt;"",I62&lt;&gt;""),H62*I62,"")</f>
        <v/>
      </c>
      <c r="K62" s="8" t="n"/>
    </row>
    <row r="63">
      <c r="A63" s="9" t="n"/>
      <c r="B63" s="10" t="n"/>
      <c r="C63" s="10">
        <f>IF(A63="","",TEXT(A63,"MMMM YYYY"))</f>
        <v/>
      </c>
      <c r="D63" s="10" t="n"/>
      <c r="E63" s="10" t="n"/>
      <c r="F63" s="10" t="n"/>
      <c r="G63" s="10" t="n"/>
      <c r="H63" s="11" t="n"/>
      <c r="I63" s="12" t="n"/>
      <c r="J63" s="13">
        <f>IF(AND(H63&lt;&gt;"",I63&lt;&gt;""),H63*I63,"")</f>
        <v/>
      </c>
      <c r="K63" s="14" t="n"/>
    </row>
    <row r="64">
      <c r="A64" s="3" t="n"/>
      <c r="B64" s="4" t="n"/>
      <c r="C64" s="4">
        <f>IF(A64="","",TEXT(A64,"MMMM YYYY"))</f>
        <v/>
      </c>
      <c r="D64" s="4" t="n"/>
      <c r="E64" s="4" t="n"/>
      <c r="F64" s="4" t="n"/>
      <c r="G64" s="4" t="n"/>
      <c r="H64" s="5" t="n"/>
      <c r="I64" s="6" t="n"/>
      <c r="J64" s="7">
        <f>IF(AND(H64&lt;&gt;"",I64&lt;&gt;""),H64*I64,"")</f>
        <v/>
      </c>
      <c r="K64" s="8" t="n"/>
    </row>
    <row r="65">
      <c r="A65" s="9" t="n"/>
      <c r="B65" s="10" t="n"/>
      <c r="C65" s="10">
        <f>IF(A65="","",TEXT(A65,"MMMM YYYY"))</f>
        <v/>
      </c>
      <c r="D65" s="10" t="n"/>
      <c r="E65" s="10" t="n"/>
      <c r="F65" s="10" t="n"/>
      <c r="G65" s="10" t="n"/>
      <c r="H65" s="11" t="n"/>
      <c r="I65" s="12" t="n"/>
      <c r="J65" s="13">
        <f>IF(AND(H65&lt;&gt;"",I65&lt;&gt;""),H65*I65,"")</f>
        <v/>
      </c>
      <c r="K65" s="14" t="n"/>
    </row>
    <row r="66">
      <c r="A66" s="3" t="n"/>
      <c r="B66" s="4" t="n"/>
      <c r="C66" s="4">
        <f>IF(A66="","",TEXT(A66,"MMMM YYYY"))</f>
        <v/>
      </c>
      <c r="D66" s="4" t="n"/>
      <c r="E66" s="4" t="n"/>
      <c r="F66" s="4" t="n"/>
      <c r="G66" s="4" t="n"/>
      <c r="H66" s="5" t="n"/>
      <c r="I66" s="6" t="n"/>
      <c r="J66" s="7">
        <f>IF(AND(H66&lt;&gt;"",I66&lt;&gt;""),H66*I66,"")</f>
        <v/>
      </c>
      <c r="K66" s="8" t="n"/>
    </row>
    <row r="67">
      <c r="A67" s="9" t="n"/>
      <c r="B67" s="10" t="n"/>
      <c r="C67" s="10">
        <f>IF(A67="","",TEXT(A67,"MMMM YYYY"))</f>
        <v/>
      </c>
      <c r="D67" s="10" t="n"/>
      <c r="E67" s="10" t="n"/>
      <c r="F67" s="10" t="n"/>
      <c r="G67" s="10" t="n"/>
      <c r="H67" s="11" t="n"/>
      <c r="I67" s="12" t="n"/>
      <c r="J67" s="13">
        <f>IF(AND(H67&lt;&gt;"",I67&lt;&gt;""),H67*I67,"")</f>
        <v/>
      </c>
      <c r="K67" s="14" t="n"/>
    </row>
    <row r="68">
      <c r="A68" s="3" t="n"/>
      <c r="B68" s="4" t="n"/>
      <c r="C68" s="4">
        <f>IF(A68="","",TEXT(A68,"MMMM YYYY"))</f>
        <v/>
      </c>
      <c r="D68" s="4" t="n"/>
      <c r="E68" s="4" t="n"/>
      <c r="F68" s="4" t="n"/>
      <c r="G68" s="4" t="n"/>
      <c r="H68" s="5" t="n"/>
      <c r="I68" s="6" t="n"/>
      <c r="J68" s="7">
        <f>IF(AND(H68&lt;&gt;"",I68&lt;&gt;""),H68*I68,"")</f>
        <v/>
      </c>
      <c r="K68" s="8" t="n"/>
    </row>
    <row r="69">
      <c r="A69" s="9" t="n"/>
      <c r="B69" s="10" t="n"/>
      <c r="C69" s="10">
        <f>IF(A69="","",TEXT(A69,"MMMM YYYY"))</f>
        <v/>
      </c>
      <c r="D69" s="10" t="n"/>
      <c r="E69" s="10" t="n"/>
      <c r="F69" s="10" t="n"/>
      <c r="G69" s="10" t="n"/>
      <c r="H69" s="11" t="n"/>
      <c r="I69" s="12" t="n"/>
      <c r="J69" s="13">
        <f>IF(AND(H69&lt;&gt;"",I69&lt;&gt;""),H69*I69,"")</f>
        <v/>
      </c>
      <c r="K69" s="14" t="n"/>
    </row>
    <row r="70">
      <c r="A70" s="3" t="n"/>
      <c r="B70" s="4" t="n"/>
      <c r="C70" s="4">
        <f>IF(A70="","",TEXT(A70,"MMMM YYYY"))</f>
        <v/>
      </c>
      <c r="D70" s="4" t="n"/>
      <c r="E70" s="4" t="n"/>
      <c r="F70" s="4" t="n"/>
      <c r="G70" s="4" t="n"/>
      <c r="H70" s="5" t="n"/>
      <c r="I70" s="6" t="n"/>
      <c r="J70" s="7">
        <f>IF(AND(H70&lt;&gt;"",I70&lt;&gt;""),H70*I70,"")</f>
        <v/>
      </c>
      <c r="K70" s="8" t="n"/>
    </row>
    <row r="71">
      <c r="A71" s="9" t="n"/>
      <c r="B71" s="10" t="n"/>
      <c r="C71" s="10">
        <f>IF(A71="","",TEXT(A71,"MMMM YYYY"))</f>
        <v/>
      </c>
      <c r="D71" s="10" t="n"/>
      <c r="E71" s="10" t="n"/>
      <c r="F71" s="10" t="n"/>
      <c r="G71" s="10" t="n"/>
      <c r="H71" s="11" t="n"/>
      <c r="I71" s="12" t="n"/>
      <c r="J71" s="13">
        <f>IF(AND(H71&lt;&gt;"",I71&lt;&gt;""),H71*I71,"")</f>
        <v/>
      </c>
      <c r="K71" s="14" t="n"/>
    </row>
    <row r="72">
      <c r="A72" s="3" t="n"/>
      <c r="B72" s="4" t="n"/>
      <c r="C72" s="4">
        <f>IF(A72="","",TEXT(A72,"MMMM YYYY"))</f>
        <v/>
      </c>
      <c r="D72" s="4" t="n"/>
      <c r="E72" s="4" t="n"/>
      <c r="F72" s="4" t="n"/>
      <c r="G72" s="4" t="n"/>
      <c r="H72" s="5" t="n"/>
      <c r="I72" s="6" t="n"/>
      <c r="J72" s="7">
        <f>IF(AND(H72&lt;&gt;"",I72&lt;&gt;""),H72*I72,"")</f>
        <v/>
      </c>
      <c r="K72" s="8" t="n"/>
    </row>
    <row r="73">
      <c r="A73" s="9" t="n"/>
      <c r="B73" s="10" t="n"/>
      <c r="C73" s="10">
        <f>IF(A73="","",TEXT(A73,"MMMM YYYY"))</f>
        <v/>
      </c>
      <c r="D73" s="10" t="n"/>
      <c r="E73" s="10" t="n"/>
      <c r="F73" s="10" t="n"/>
      <c r="G73" s="10" t="n"/>
      <c r="H73" s="11" t="n"/>
      <c r="I73" s="12" t="n"/>
      <c r="J73" s="13">
        <f>IF(AND(H73&lt;&gt;"",I73&lt;&gt;""),H73*I73,"")</f>
        <v/>
      </c>
      <c r="K73" s="14" t="n"/>
    </row>
    <row r="74">
      <c r="A74" s="3" t="n"/>
      <c r="B74" s="4" t="n"/>
      <c r="C74" s="4">
        <f>IF(A74="","",TEXT(A74,"MMMM YYYY"))</f>
        <v/>
      </c>
      <c r="D74" s="4" t="n"/>
      <c r="E74" s="4" t="n"/>
      <c r="F74" s="4" t="n"/>
      <c r="G74" s="4" t="n"/>
      <c r="H74" s="5" t="n"/>
      <c r="I74" s="6" t="n"/>
      <c r="J74" s="7">
        <f>IF(AND(H74&lt;&gt;"",I74&lt;&gt;""),H74*I74,"")</f>
        <v/>
      </c>
      <c r="K74" s="8" t="n"/>
    </row>
    <row r="75">
      <c r="A75" s="9" t="n"/>
      <c r="B75" s="10" t="n"/>
      <c r="C75" s="10">
        <f>IF(A75="","",TEXT(A75,"MMMM YYYY"))</f>
        <v/>
      </c>
      <c r="D75" s="10" t="n"/>
      <c r="E75" s="10" t="n"/>
      <c r="F75" s="10" t="n"/>
      <c r="G75" s="10" t="n"/>
      <c r="H75" s="11" t="n"/>
      <c r="I75" s="12" t="n"/>
      <c r="J75" s="13">
        <f>IF(AND(H75&lt;&gt;"",I75&lt;&gt;""),H75*I75,"")</f>
        <v/>
      </c>
      <c r="K75" s="14" t="n"/>
    </row>
    <row r="76">
      <c r="A76" s="3" t="n"/>
      <c r="B76" s="4" t="n"/>
      <c r="C76" s="4">
        <f>IF(A76="","",TEXT(A76,"MMMM YYYY"))</f>
        <v/>
      </c>
      <c r="D76" s="4" t="n"/>
      <c r="E76" s="4" t="n"/>
      <c r="F76" s="4" t="n"/>
      <c r="G76" s="4" t="n"/>
      <c r="H76" s="5" t="n"/>
      <c r="I76" s="6" t="n"/>
      <c r="J76" s="7">
        <f>IF(AND(H76&lt;&gt;"",I76&lt;&gt;""),H76*I76,"")</f>
        <v/>
      </c>
      <c r="K76" s="8" t="n"/>
    </row>
    <row r="77">
      <c r="A77" s="9" t="n"/>
      <c r="B77" s="10" t="n"/>
      <c r="C77" s="10">
        <f>IF(A77="","",TEXT(A77,"MMMM YYYY"))</f>
        <v/>
      </c>
      <c r="D77" s="10" t="n"/>
      <c r="E77" s="10" t="n"/>
      <c r="F77" s="10" t="n"/>
      <c r="G77" s="10" t="n"/>
      <c r="H77" s="11" t="n"/>
      <c r="I77" s="12" t="n"/>
      <c r="J77" s="13">
        <f>IF(AND(H77&lt;&gt;"",I77&lt;&gt;""),H77*I77,"")</f>
        <v/>
      </c>
      <c r="K77" s="14" t="n"/>
    </row>
    <row r="78">
      <c r="A78" s="3" t="n"/>
      <c r="B78" s="4" t="n"/>
      <c r="C78" s="4">
        <f>IF(A78="","",TEXT(A78,"MMMM YYYY"))</f>
        <v/>
      </c>
      <c r="D78" s="4" t="n"/>
      <c r="E78" s="4" t="n"/>
      <c r="F78" s="4" t="n"/>
      <c r="G78" s="4" t="n"/>
      <c r="H78" s="5" t="n"/>
      <c r="I78" s="6" t="n"/>
      <c r="J78" s="7">
        <f>IF(AND(H78&lt;&gt;"",I78&lt;&gt;""),H78*I78,"")</f>
        <v/>
      </c>
      <c r="K78" s="8" t="n"/>
    </row>
    <row r="79">
      <c r="A79" s="9" t="n"/>
      <c r="B79" s="10" t="n"/>
      <c r="C79" s="10">
        <f>IF(A79="","",TEXT(A79,"MMMM YYYY"))</f>
        <v/>
      </c>
      <c r="D79" s="10" t="n"/>
      <c r="E79" s="10" t="n"/>
      <c r="F79" s="10" t="n"/>
      <c r="G79" s="10" t="n"/>
      <c r="H79" s="11" t="n"/>
      <c r="I79" s="12" t="n"/>
      <c r="J79" s="13">
        <f>IF(AND(H79&lt;&gt;"",I79&lt;&gt;""),H79*I79,"")</f>
        <v/>
      </c>
      <c r="K79" s="14" t="n"/>
    </row>
    <row r="80">
      <c r="A80" s="3" t="n"/>
      <c r="B80" s="4" t="n"/>
      <c r="C80" s="4">
        <f>IF(A80="","",TEXT(A80,"MMMM YYYY"))</f>
        <v/>
      </c>
      <c r="D80" s="4" t="n"/>
      <c r="E80" s="4" t="n"/>
      <c r="F80" s="4" t="n"/>
      <c r="G80" s="4" t="n"/>
      <c r="H80" s="5" t="n"/>
      <c r="I80" s="6" t="n"/>
      <c r="J80" s="7">
        <f>IF(AND(H80&lt;&gt;"",I80&lt;&gt;""),H80*I80,"")</f>
        <v/>
      </c>
      <c r="K80" s="8" t="n"/>
    </row>
    <row r="81">
      <c r="A81" s="9" t="n"/>
      <c r="B81" s="10" t="n"/>
      <c r="C81" s="10">
        <f>IF(A81="","",TEXT(A81,"MMMM YYYY"))</f>
        <v/>
      </c>
      <c r="D81" s="10" t="n"/>
      <c r="E81" s="10" t="n"/>
      <c r="F81" s="10" t="n"/>
      <c r="G81" s="10" t="n"/>
      <c r="H81" s="11" t="n"/>
      <c r="I81" s="12" t="n"/>
      <c r="J81" s="13">
        <f>IF(AND(H81&lt;&gt;"",I81&lt;&gt;""),H81*I81,"")</f>
        <v/>
      </c>
      <c r="K81" s="14" t="n"/>
    </row>
    <row r="82">
      <c r="A82" s="3" t="n"/>
      <c r="B82" s="4" t="n"/>
      <c r="C82" s="4">
        <f>IF(A82="","",TEXT(A82,"MMMM YYYY"))</f>
        <v/>
      </c>
      <c r="D82" s="4" t="n"/>
      <c r="E82" s="4" t="n"/>
      <c r="F82" s="4" t="n"/>
      <c r="G82" s="4" t="n"/>
      <c r="H82" s="5" t="n"/>
      <c r="I82" s="6" t="n"/>
      <c r="J82" s="7">
        <f>IF(AND(H82&lt;&gt;"",I82&lt;&gt;""),H82*I82,"")</f>
        <v/>
      </c>
      <c r="K82" s="8" t="n"/>
    </row>
    <row r="83">
      <c r="A83" s="9" t="n"/>
      <c r="B83" s="10" t="n"/>
      <c r="C83" s="10">
        <f>IF(A83="","",TEXT(A83,"MMMM YYYY"))</f>
        <v/>
      </c>
      <c r="D83" s="10" t="n"/>
      <c r="E83" s="10" t="n"/>
      <c r="F83" s="10" t="n"/>
      <c r="G83" s="10" t="n"/>
      <c r="H83" s="11" t="n"/>
      <c r="I83" s="12" t="n"/>
      <c r="J83" s="13">
        <f>IF(AND(H83&lt;&gt;"",I83&lt;&gt;""),H83*I83,"")</f>
        <v/>
      </c>
      <c r="K83" s="14" t="n"/>
    </row>
    <row r="84">
      <c r="A84" s="3" t="n"/>
      <c r="B84" s="4" t="n"/>
      <c r="C84" s="4">
        <f>IF(A84="","",TEXT(A84,"MMMM YYYY"))</f>
        <v/>
      </c>
      <c r="D84" s="4" t="n"/>
      <c r="E84" s="4" t="n"/>
      <c r="F84" s="4" t="n"/>
      <c r="G84" s="4" t="n"/>
      <c r="H84" s="5" t="n"/>
      <c r="I84" s="6" t="n"/>
      <c r="J84" s="7">
        <f>IF(AND(H84&lt;&gt;"",I84&lt;&gt;""),H84*I84,"")</f>
        <v/>
      </c>
      <c r="K84" s="8" t="n"/>
    </row>
    <row r="85">
      <c r="A85" s="9" t="n"/>
      <c r="B85" s="10" t="n"/>
      <c r="C85" s="10">
        <f>IF(A85="","",TEXT(A85,"MMMM YYYY"))</f>
        <v/>
      </c>
      <c r="D85" s="10" t="n"/>
      <c r="E85" s="10" t="n"/>
      <c r="F85" s="10" t="n"/>
      <c r="G85" s="10" t="n"/>
      <c r="H85" s="11" t="n"/>
      <c r="I85" s="12" t="n"/>
      <c r="J85" s="13">
        <f>IF(AND(H85&lt;&gt;"",I85&lt;&gt;""),H85*I85,"")</f>
        <v/>
      </c>
      <c r="K85" s="14" t="n"/>
    </row>
    <row r="86">
      <c r="A86" s="3" t="n"/>
      <c r="B86" s="4" t="n"/>
      <c r="C86" s="4">
        <f>IF(A86="","",TEXT(A86,"MMMM YYYY"))</f>
        <v/>
      </c>
      <c r="D86" s="4" t="n"/>
      <c r="E86" s="4" t="n"/>
      <c r="F86" s="4" t="n"/>
      <c r="G86" s="4" t="n"/>
      <c r="H86" s="5" t="n"/>
      <c r="I86" s="6" t="n"/>
      <c r="J86" s="7">
        <f>IF(AND(H86&lt;&gt;"",I86&lt;&gt;""),H86*I86,"")</f>
        <v/>
      </c>
      <c r="K86" s="8" t="n"/>
    </row>
    <row r="87">
      <c r="A87" s="9" t="n"/>
      <c r="B87" s="10" t="n"/>
      <c r="C87" s="10">
        <f>IF(A87="","",TEXT(A87,"MMMM YYYY"))</f>
        <v/>
      </c>
      <c r="D87" s="10" t="n"/>
      <c r="E87" s="10" t="n"/>
      <c r="F87" s="10" t="n"/>
      <c r="G87" s="10" t="n"/>
      <c r="H87" s="11" t="n"/>
      <c r="I87" s="12" t="n"/>
      <c r="J87" s="13">
        <f>IF(AND(H87&lt;&gt;"",I87&lt;&gt;""),H87*I87,"")</f>
        <v/>
      </c>
      <c r="K87" s="14" t="n"/>
    </row>
    <row r="88">
      <c r="A88" s="3" t="n"/>
      <c r="B88" s="4" t="n"/>
      <c r="C88" s="4">
        <f>IF(A88="","",TEXT(A88,"MMMM YYYY"))</f>
        <v/>
      </c>
      <c r="D88" s="4" t="n"/>
      <c r="E88" s="4" t="n"/>
      <c r="F88" s="4" t="n"/>
      <c r="G88" s="4" t="n"/>
      <c r="H88" s="5" t="n"/>
      <c r="I88" s="6" t="n"/>
      <c r="J88" s="7">
        <f>IF(AND(H88&lt;&gt;"",I88&lt;&gt;""),H88*I88,"")</f>
        <v/>
      </c>
      <c r="K88" s="8" t="n"/>
    </row>
    <row r="89">
      <c r="A89" s="9" t="n"/>
      <c r="B89" s="10" t="n"/>
      <c r="C89" s="10">
        <f>IF(A89="","",TEXT(A89,"MMMM YYYY"))</f>
        <v/>
      </c>
      <c r="D89" s="10" t="n"/>
      <c r="E89" s="10" t="n"/>
      <c r="F89" s="10" t="n"/>
      <c r="G89" s="10" t="n"/>
      <c r="H89" s="11" t="n"/>
      <c r="I89" s="12" t="n"/>
      <c r="J89" s="13">
        <f>IF(AND(H89&lt;&gt;"",I89&lt;&gt;""),H89*I89,"")</f>
        <v/>
      </c>
      <c r="K89" s="14" t="n"/>
    </row>
    <row r="90">
      <c r="A90" s="3" t="n"/>
      <c r="B90" s="4" t="n"/>
      <c r="C90" s="4">
        <f>IF(A90="","",TEXT(A90,"MMMM YYYY"))</f>
        <v/>
      </c>
      <c r="D90" s="4" t="n"/>
      <c r="E90" s="4" t="n"/>
      <c r="F90" s="4" t="n"/>
      <c r="G90" s="4" t="n"/>
      <c r="H90" s="5" t="n"/>
      <c r="I90" s="6" t="n"/>
      <c r="J90" s="7">
        <f>IF(AND(H90&lt;&gt;"",I90&lt;&gt;""),H90*I90,"")</f>
        <v/>
      </c>
      <c r="K90" s="8" t="n"/>
    </row>
    <row r="91">
      <c r="A91" s="9" t="n"/>
      <c r="B91" s="10" t="n"/>
      <c r="C91" s="10">
        <f>IF(A91="","",TEXT(A91,"MMMM YYYY"))</f>
        <v/>
      </c>
      <c r="D91" s="10" t="n"/>
      <c r="E91" s="10" t="n"/>
      <c r="F91" s="10" t="n"/>
      <c r="G91" s="10" t="n"/>
      <c r="H91" s="11" t="n"/>
      <c r="I91" s="12" t="n"/>
      <c r="J91" s="13">
        <f>IF(AND(H91&lt;&gt;"",I91&lt;&gt;""),H91*I91,"")</f>
        <v/>
      </c>
      <c r="K91" s="14" t="n"/>
    </row>
    <row r="92">
      <c r="A92" s="3" t="n"/>
      <c r="B92" s="4" t="n"/>
      <c r="C92" s="4">
        <f>IF(A92="","",TEXT(A92,"MMMM YYYY"))</f>
        <v/>
      </c>
      <c r="D92" s="4" t="n"/>
      <c r="E92" s="4" t="n"/>
      <c r="F92" s="4" t="n"/>
      <c r="G92" s="4" t="n"/>
      <c r="H92" s="5" t="n"/>
      <c r="I92" s="6" t="n"/>
      <c r="J92" s="7">
        <f>IF(AND(H92&lt;&gt;"",I92&lt;&gt;""),H92*I92,"")</f>
        <v/>
      </c>
      <c r="K92" s="8" t="n"/>
    </row>
    <row r="93">
      <c r="A93" s="9" t="n"/>
      <c r="B93" s="10" t="n"/>
      <c r="C93" s="10">
        <f>IF(A93="","",TEXT(A93,"MMMM YYYY"))</f>
        <v/>
      </c>
      <c r="D93" s="10" t="n"/>
      <c r="E93" s="10" t="n"/>
      <c r="F93" s="10" t="n"/>
      <c r="G93" s="10" t="n"/>
      <c r="H93" s="11" t="n"/>
      <c r="I93" s="12" t="n"/>
      <c r="J93" s="13">
        <f>IF(AND(H93&lt;&gt;"",I93&lt;&gt;""),H93*I93,"")</f>
        <v/>
      </c>
      <c r="K93" s="14" t="n"/>
    </row>
    <row r="94">
      <c r="A94" s="3" t="n"/>
      <c r="B94" s="4" t="n"/>
      <c r="C94" s="4">
        <f>IF(A94="","",TEXT(A94,"MMMM YYYY"))</f>
        <v/>
      </c>
      <c r="D94" s="4" t="n"/>
      <c r="E94" s="4" t="n"/>
      <c r="F94" s="4" t="n"/>
      <c r="G94" s="4" t="n"/>
      <c r="H94" s="5" t="n"/>
      <c r="I94" s="6" t="n"/>
      <c r="J94" s="7">
        <f>IF(AND(H94&lt;&gt;"",I94&lt;&gt;""),H94*I94,"")</f>
        <v/>
      </c>
      <c r="K94" s="8" t="n"/>
    </row>
    <row r="95">
      <c r="A95" s="9" t="n"/>
      <c r="B95" s="10" t="n"/>
      <c r="C95" s="10">
        <f>IF(A95="","",TEXT(A95,"MMMM YYYY"))</f>
        <v/>
      </c>
      <c r="D95" s="10" t="n"/>
      <c r="E95" s="10" t="n"/>
      <c r="F95" s="10" t="n"/>
      <c r="G95" s="10" t="n"/>
      <c r="H95" s="11" t="n"/>
      <c r="I95" s="12" t="n"/>
      <c r="J95" s="13">
        <f>IF(AND(H95&lt;&gt;"",I95&lt;&gt;""),H95*I95,"")</f>
        <v/>
      </c>
      <c r="K95" s="14" t="n"/>
    </row>
    <row r="96">
      <c r="A96" s="3" t="n"/>
      <c r="B96" s="4" t="n"/>
      <c r="C96" s="4">
        <f>IF(A96="","",TEXT(A96,"MMMM YYYY"))</f>
        <v/>
      </c>
      <c r="D96" s="4" t="n"/>
      <c r="E96" s="4" t="n"/>
      <c r="F96" s="4" t="n"/>
      <c r="G96" s="4" t="n"/>
      <c r="H96" s="5" t="n"/>
      <c r="I96" s="6" t="n"/>
      <c r="J96" s="7">
        <f>IF(AND(H96&lt;&gt;"",I96&lt;&gt;""),H96*I96,"")</f>
        <v/>
      </c>
      <c r="K96" s="8" t="n"/>
    </row>
    <row r="97">
      <c r="A97" s="9" t="n"/>
      <c r="B97" s="10" t="n"/>
      <c r="C97" s="10">
        <f>IF(A97="","",TEXT(A97,"MMMM YYYY"))</f>
        <v/>
      </c>
      <c r="D97" s="10" t="n"/>
      <c r="E97" s="10" t="n"/>
      <c r="F97" s="10" t="n"/>
      <c r="G97" s="10" t="n"/>
      <c r="H97" s="11" t="n"/>
      <c r="I97" s="12" t="n"/>
      <c r="J97" s="13">
        <f>IF(AND(H97&lt;&gt;"",I97&lt;&gt;""),H97*I97,"")</f>
        <v/>
      </c>
      <c r="K97" s="14" t="n"/>
    </row>
    <row r="98">
      <c r="A98" s="3" t="n"/>
      <c r="B98" s="4" t="n"/>
      <c r="C98" s="4">
        <f>IF(A98="","",TEXT(A98,"MMMM YYYY"))</f>
        <v/>
      </c>
      <c r="D98" s="4" t="n"/>
      <c r="E98" s="4" t="n"/>
      <c r="F98" s="4" t="n"/>
      <c r="G98" s="4" t="n"/>
      <c r="H98" s="5" t="n"/>
      <c r="I98" s="6" t="n"/>
      <c r="J98" s="7">
        <f>IF(AND(H98&lt;&gt;"",I98&lt;&gt;""),H98*I98,"")</f>
        <v/>
      </c>
      <c r="K98" s="8" t="n"/>
    </row>
    <row r="99">
      <c r="A99" s="9" t="n"/>
      <c r="B99" s="10" t="n"/>
      <c r="C99" s="10">
        <f>IF(A99="","",TEXT(A99,"MMMM YYYY"))</f>
        <v/>
      </c>
      <c r="D99" s="10" t="n"/>
      <c r="E99" s="10" t="n"/>
      <c r="F99" s="10" t="n"/>
      <c r="G99" s="10" t="n"/>
      <c r="H99" s="11" t="n"/>
      <c r="I99" s="12" t="n"/>
      <c r="J99" s="13">
        <f>IF(AND(H99&lt;&gt;"",I99&lt;&gt;""),H99*I99,"")</f>
        <v/>
      </c>
      <c r="K99" s="14" t="n"/>
    </row>
    <row r="100">
      <c r="A100" s="3" t="n"/>
      <c r="B100" s="4" t="n"/>
      <c r="C100" s="4">
        <f>IF(A100="","",TEXT(A100,"MMMM YYYY"))</f>
        <v/>
      </c>
      <c r="D100" s="4" t="n"/>
      <c r="E100" s="4" t="n"/>
      <c r="F100" s="4" t="n"/>
      <c r="G100" s="4" t="n"/>
      <c r="H100" s="5" t="n"/>
      <c r="I100" s="6" t="n"/>
      <c r="J100" s="7">
        <f>IF(AND(H100&lt;&gt;"",I100&lt;&gt;""),H100*I100,"")</f>
        <v/>
      </c>
      <c r="K100" s="8" t="n"/>
    </row>
    <row r="101">
      <c r="A101" s="9" t="n"/>
      <c r="B101" s="10" t="n"/>
      <c r="C101" s="10">
        <f>IF(A101="","",TEXT(A101,"MMMM YYYY"))</f>
        <v/>
      </c>
      <c r="D101" s="10" t="n"/>
      <c r="E101" s="10" t="n"/>
      <c r="F101" s="10" t="n"/>
      <c r="G101" s="10" t="n"/>
      <c r="H101" s="11" t="n"/>
      <c r="I101" s="12" t="n"/>
      <c r="J101" s="13">
        <f>IF(AND(H101&lt;&gt;"",I101&lt;&gt;""),H101*I101,"")</f>
        <v/>
      </c>
      <c r="K101" s="14" t="n"/>
    </row>
    <row r="102">
      <c r="A102" s="3" t="n"/>
      <c r="B102" s="4" t="n"/>
      <c r="C102" s="4">
        <f>IF(A102="","",TEXT(A102,"MMMM YYYY"))</f>
        <v/>
      </c>
      <c r="D102" s="4" t="n"/>
      <c r="E102" s="4" t="n"/>
      <c r="F102" s="4" t="n"/>
      <c r="G102" s="4" t="n"/>
      <c r="H102" s="5" t="n"/>
      <c r="I102" s="6" t="n"/>
      <c r="J102" s="7">
        <f>IF(AND(H102&lt;&gt;"",I102&lt;&gt;""),H102*I102,"")</f>
        <v/>
      </c>
      <c r="K102" s="8" t="n"/>
    </row>
    <row r="103">
      <c r="A103" s="9" t="n"/>
      <c r="B103" s="10" t="n"/>
      <c r="C103" s="10">
        <f>IF(A103="","",TEXT(A103,"MMMM YYYY"))</f>
        <v/>
      </c>
      <c r="D103" s="10" t="n"/>
      <c r="E103" s="10" t="n"/>
      <c r="F103" s="10" t="n"/>
      <c r="G103" s="10" t="n"/>
      <c r="H103" s="11" t="n"/>
      <c r="I103" s="12" t="n"/>
      <c r="J103" s="13">
        <f>IF(AND(H103&lt;&gt;"",I103&lt;&gt;""),H103*I103,"")</f>
        <v/>
      </c>
      <c r="K103" s="14" t="n"/>
    </row>
    <row r="104">
      <c r="A104" s="3" t="n"/>
      <c r="B104" s="4" t="n"/>
      <c r="C104" s="4">
        <f>IF(A104="","",TEXT(A104,"MMMM YYYY"))</f>
        <v/>
      </c>
      <c r="D104" s="4" t="n"/>
      <c r="E104" s="4" t="n"/>
      <c r="F104" s="4" t="n"/>
      <c r="G104" s="4" t="n"/>
      <c r="H104" s="5" t="n"/>
      <c r="I104" s="6" t="n"/>
      <c r="J104" s="7">
        <f>IF(AND(H104&lt;&gt;"",I104&lt;&gt;""),H104*I104,"")</f>
        <v/>
      </c>
      <c r="K104" s="8" t="n"/>
    </row>
    <row r="105">
      <c r="A105" s="9" t="n"/>
      <c r="B105" s="10" t="n"/>
      <c r="C105" s="10">
        <f>IF(A105="","",TEXT(A105,"MMMM YYYY"))</f>
        <v/>
      </c>
      <c r="D105" s="10" t="n"/>
      <c r="E105" s="10" t="n"/>
      <c r="F105" s="10" t="n"/>
      <c r="G105" s="10" t="n"/>
      <c r="H105" s="11" t="n"/>
      <c r="I105" s="12" t="n"/>
      <c r="J105" s="13">
        <f>IF(AND(H105&lt;&gt;"",I105&lt;&gt;""),H105*I105,"")</f>
        <v/>
      </c>
      <c r="K105" s="14" t="n"/>
    </row>
    <row r="106">
      <c r="A106" s="3" t="n"/>
      <c r="B106" s="4" t="n"/>
      <c r="C106" s="4">
        <f>IF(A106="","",TEXT(A106,"MMMM YYYY"))</f>
        <v/>
      </c>
      <c r="D106" s="4" t="n"/>
      <c r="E106" s="4" t="n"/>
      <c r="F106" s="4" t="n"/>
      <c r="G106" s="4" t="n"/>
      <c r="H106" s="5" t="n"/>
      <c r="I106" s="6" t="n"/>
      <c r="J106" s="7">
        <f>IF(AND(H106&lt;&gt;"",I106&lt;&gt;""),H106*I106,"")</f>
        <v/>
      </c>
      <c r="K106" s="8" t="n"/>
    </row>
    <row r="107">
      <c r="A107" s="9" t="n"/>
      <c r="B107" s="10" t="n"/>
      <c r="C107" s="10">
        <f>IF(A107="","",TEXT(A107,"MMMM YYYY"))</f>
        <v/>
      </c>
      <c r="D107" s="10" t="n"/>
      <c r="E107" s="10" t="n"/>
      <c r="F107" s="10" t="n"/>
      <c r="G107" s="10" t="n"/>
      <c r="H107" s="11" t="n"/>
      <c r="I107" s="12" t="n"/>
      <c r="J107" s="13">
        <f>IF(AND(H107&lt;&gt;"",I107&lt;&gt;""),H107*I107,"")</f>
        <v/>
      </c>
      <c r="K107" s="14" t="n"/>
    </row>
    <row r="108">
      <c r="A108" s="3" t="n"/>
      <c r="B108" s="4" t="n"/>
      <c r="C108" s="4">
        <f>IF(A108="","",TEXT(A108,"MMMM YYYY"))</f>
        <v/>
      </c>
      <c r="D108" s="4" t="n"/>
      <c r="E108" s="4" t="n"/>
      <c r="F108" s="4" t="n"/>
      <c r="G108" s="4" t="n"/>
      <c r="H108" s="5" t="n"/>
      <c r="I108" s="6" t="n"/>
      <c r="J108" s="7">
        <f>IF(AND(H108&lt;&gt;"",I108&lt;&gt;""),H108*I108,"")</f>
        <v/>
      </c>
      <c r="K108" s="8" t="n"/>
    </row>
    <row r="109">
      <c r="A109" s="9" t="n"/>
      <c r="B109" s="10" t="n"/>
      <c r="C109" s="10">
        <f>IF(A109="","",TEXT(A109,"MMMM YYYY"))</f>
        <v/>
      </c>
      <c r="D109" s="10" t="n"/>
      <c r="E109" s="10" t="n"/>
      <c r="F109" s="10" t="n"/>
      <c r="G109" s="10" t="n"/>
      <c r="H109" s="11" t="n"/>
      <c r="I109" s="12" t="n"/>
      <c r="J109" s="13">
        <f>IF(AND(H109&lt;&gt;"",I109&lt;&gt;""),H109*I109,"")</f>
        <v/>
      </c>
      <c r="K109" s="14" t="n"/>
    </row>
    <row r="110">
      <c r="A110" s="3" t="n"/>
      <c r="B110" s="4" t="n"/>
      <c r="C110" s="4">
        <f>IF(A110="","",TEXT(A110,"MMMM YYYY"))</f>
        <v/>
      </c>
      <c r="D110" s="4" t="n"/>
      <c r="E110" s="4" t="n"/>
      <c r="F110" s="4" t="n"/>
      <c r="G110" s="4" t="n"/>
      <c r="H110" s="5" t="n"/>
      <c r="I110" s="6" t="n"/>
      <c r="J110" s="7">
        <f>IF(AND(H110&lt;&gt;"",I110&lt;&gt;""),H110*I110,"")</f>
        <v/>
      </c>
      <c r="K110" s="8" t="n"/>
    </row>
    <row r="111">
      <c r="A111" s="9" t="n"/>
      <c r="B111" s="10" t="n"/>
      <c r="C111" s="10">
        <f>IF(A111="","",TEXT(A111,"MMMM YYYY"))</f>
        <v/>
      </c>
      <c r="D111" s="10" t="n"/>
      <c r="E111" s="10" t="n"/>
      <c r="F111" s="10" t="n"/>
      <c r="G111" s="10" t="n"/>
      <c r="H111" s="11" t="n"/>
      <c r="I111" s="12" t="n"/>
      <c r="J111" s="13">
        <f>IF(AND(H111&lt;&gt;"",I111&lt;&gt;""),H111*I111,"")</f>
        <v/>
      </c>
      <c r="K111" s="14" t="n"/>
    </row>
    <row r="112">
      <c r="A112" s="3" t="n"/>
      <c r="B112" s="4" t="n"/>
      <c r="C112" s="4">
        <f>IF(A112="","",TEXT(A112,"MMMM YYYY"))</f>
        <v/>
      </c>
      <c r="D112" s="4" t="n"/>
      <c r="E112" s="4" t="n"/>
      <c r="F112" s="4" t="n"/>
      <c r="G112" s="4" t="n"/>
      <c r="H112" s="5" t="n"/>
      <c r="I112" s="6" t="n"/>
      <c r="J112" s="7">
        <f>IF(AND(H112&lt;&gt;"",I112&lt;&gt;""),H112*I112,"")</f>
        <v/>
      </c>
      <c r="K112" s="8" t="n"/>
    </row>
    <row r="113">
      <c r="A113" s="9" t="n"/>
      <c r="B113" s="10" t="n"/>
      <c r="C113" s="10">
        <f>IF(A113="","",TEXT(A113,"MMMM YYYY"))</f>
        <v/>
      </c>
      <c r="D113" s="10" t="n"/>
      <c r="E113" s="10" t="n"/>
      <c r="F113" s="10" t="n"/>
      <c r="G113" s="10" t="n"/>
      <c r="H113" s="11" t="n"/>
      <c r="I113" s="12" t="n"/>
      <c r="J113" s="13">
        <f>IF(AND(H113&lt;&gt;"",I113&lt;&gt;""),H113*I113,"")</f>
        <v/>
      </c>
      <c r="K113" s="14" t="n"/>
    </row>
    <row r="114">
      <c r="A114" s="3" t="n"/>
      <c r="B114" s="4" t="n"/>
      <c r="C114" s="4">
        <f>IF(A114="","",TEXT(A114,"MMMM YYYY"))</f>
        <v/>
      </c>
      <c r="D114" s="4" t="n"/>
      <c r="E114" s="4" t="n"/>
      <c r="F114" s="4" t="n"/>
      <c r="G114" s="4" t="n"/>
      <c r="H114" s="5" t="n"/>
      <c r="I114" s="6" t="n"/>
      <c r="J114" s="7">
        <f>IF(AND(H114&lt;&gt;"",I114&lt;&gt;""),H114*I114,"")</f>
        <v/>
      </c>
      <c r="K114" s="8" t="n"/>
    </row>
    <row r="115">
      <c r="A115" s="9" t="n"/>
      <c r="B115" s="10" t="n"/>
      <c r="C115" s="10">
        <f>IF(A115="","",TEXT(A115,"MMMM YYYY"))</f>
        <v/>
      </c>
      <c r="D115" s="10" t="n"/>
      <c r="E115" s="10" t="n"/>
      <c r="F115" s="10" t="n"/>
      <c r="G115" s="10" t="n"/>
      <c r="H115" s="11" t="n"/>
      <c r="I115" s="12" t="n"/>
      <c r="J115" s="13">
        <f>IF(AND(H115&lt;&gt;"",I115&lt;&gt;""),H115*I115,"")</f>
        <v/>
      </c>
      <c r="K115" s="14" t="n"/>
    </row>
    <row r="116">
      <c r="A116" s="3" t="n"/>
      <c r="B116" s="4" t="n"/>
      <c r="C116" s="4">
        <f>IF(A116="","",TEXT(A116,"MMMM YYYY"))</f>
        <v/>
      </c>
      <c r="D116" s="4" t="n"/>
      <c r="E116" s="4" t="n"/>
      <c r="F116" s="4" t="n"/>
      <c r="G116" s="4" t="n"/>
      <c r="H116" s="5" t="n"/>
      <c r="I116" s="6" t="n"/>
      <c r="J116" s="7">
        <f>IF(AND(H116&lt;&gt;"",I116&lt;&gt;""),H116*I116,"")</f>
        <v/>
      </c>
      <c r="K116" s="8" t="n"/>
    </row>
    <row r="117">
      <c r="A117" s="9" t="n"/>
      <c r="B117" s="10" t="n"/>
      <c r="C117" s="10">
        <f>IF(A117="","",TEXT(A117,"MMMM YYYY"))</f>
        <v/>
      </c>
      <c r="D117" s="10" t="n"/>
      <c r="E117" s="10" t="n"/>
      <c r="F117" s="10" t="n"/>
      <c r="G117" s="10" t="n"/>
      <c r="H117" s="11" t="n"/>
      <c r="I117" s="12" t="n"/>
      <c r="J117" s="13">
        <f>IF(AND(H117&lt;&gt;"",I117&lt;&gt;""),H117*I117,"")</f>
        <v/>
      </c>
      <c r="K117" s="14" t="n"/>
    </row>
    <row r="118">
      <c r="A118" s="3" t="n"/>
      <c r="B118" s="4" t="n"/>
      <c r="C118" s="4">
        <f>IF(A118="","",TEXT(A118,"MMMM YYYY"))</f>
        <v/>
      </c>
      <c r="D118" s="4" t="n"/>
      <c r="E118" s="4" t="n"/>
      <c r="F118" s="4" t="n"/>
      <c r="G118" s="4" t="n"/>
      <c r="H118" s="5" t="n"/>
      <c r="I118" s="6" t="n"/>
      <c r="J118" s="7">
        <f>IF(AND(H118&lt;&gt;"",I118&lt;&gt;""),H118*I118,"")</f>
        <v/>
      </c>
      <c r="K118" s="8" t="n"/>
    </row>
    <row r="119">
      <c r="A119" s="9" t="n"/>
      <c r="B119" s="10" t="n"/>
      <c r="C119" s="10">
        <f>IF(A119="","",TEXT(A119,"MMMM YYYY"))</f>
        <v/>
      </c>
      <c r="D119" s="10" t="n"/>
      <c r="E119" s="10" t="n"/>
      <c r="F119" s="10" t="n"/>
      <c r="G119" s="10" t="n"/>
      <c r="H119" s="11" t="n"/>
      <c r="I119" s="12" t="n"/>
      <c r="J119" s="13">
        <f>IF(AND(H119&lt;&gt;"",I119&lt;&gt;""),H119*I119,"")</f>
        <v/>
      </c>
      <c r="K119" s="14" t="n"/>
    </row>
    <row r="120">
      <c r="A120" s="3" t="n"/>
      <c r="B120" s="4" t="n"/>
      <c r="C120" s="4">
        <f>IF(A120="","",TEXT(A120,"MMMM YYYY"))</f>
        <v/>
      </c>
      <c r="D120" s="4" t="n"/>
      <c r="E120" s="4" t="n"/>
      <c r="F120" s="4" t="n"/>
      <c r="G120" s="4" t="n"/>
      <c r="H120" s="5" t="n"/>
      <c r="I120" s="6" t="n"/>
      <c r="J120" s="7">
        <f>IF(AND(H120&lt;&gt;"",I120&lt;&gt;""),H120*I120,"")</f>
        <v/>
      </c>
      <c r="K120" s="8" t="n"/>
    </row>
    <row r="121">
      <c r="A121" s="9" t="n"/>
      <c r="B121" s="10" t="n"/>
      <c r="C121" s="10">
        <f>IF(A121="","",TEXT(A121,"MMMM YYYY"))</f>
        <v/>
      </c>
      <c r="D121" s="10" t="n"/>
      <c r="E121" s="10" t="n"/>
      <c r="F121" s="10" t="n"/>
      <c r="G121" s="10" t="n"/>
      <c r="H121" s="11" t="n"/>
      <c r="I121" s="12" t="n"/>
      <c r="J121" s="13">
        <f>IF(AND(H121&lt;&gt;"",I121&lt;&gt;""),H121*I121,"")</f>
        <v/>
      </c>
      <c r="K121" s="14" t="n"/>
    </row>
    <row r="122">
      <c r="A122" s="3" t="n"/>
      <c r="B122" s="4" t="n"/>
      <c r="C122" s="4">
        <f>IF(A122="","",TEXT(A122,"MMMM YYYY"))</f>
        <v/>
      </c>
      <c r="D122" s="4" t="n"/>
      <c r="E122" s="4" t="n"/>
      <c r="F122" s="4" t="n"/>
      <c r="G122" s="4" t="n"/>
      <c r="H122" s="5" t="n"/>
      <c r="I122" s="6" t="n"/>
      <c r="J122" s="7">
        <f>IF(AND(H122&lt;&gt;"",I122&lt;&gt;""),H122*I122,"")</f>
        <v/>
      </c>
      <c r="K122" s="8" t="n"/>
    </row>
    <row r="123">
      <c r="A123" s="9" t="n"/>
      <c r="B123" s="10" t="n"/>
      <c r="C123" s="10">
        <f>IF(A123="","",TEXT(A123,"MMMM YYYY"))</f>
        <v/>
      </c>
      <c r="D123" s="10" t="n"/>
      <c r="E123" s="10" t="n"/>
      <c r="F123" s="10" t="n"/>
      <c r="G123" s="10" t="n"/>
      <c r="H123" s="11" t="n"/>
      <c r="I123" s="12" t="n"/>
      <c r="J123" s="13">
        <f>IF(AND(H123&lt;&gt;"",I123&lt;&gt;""),H123*I123,"")</f>
        <v/>
      </c>
      <c r="K123" s="14" t="n"/>
    </row>
    <row r="124">
      <c r="A124" s="3" t="n"/>
      <c r="B124" s="4" t="n"/>
      <c r="C124" s="4">
        <f>IF(A124="","",TEXT(A124,"MMMM YYYY"))</f>
        <v/>
      </c>
      <c r="D124" s="4" t="n"/>
      <c r="E124" s="4" t="n"/>
      <c r="F124" s="4" t="n"/>
      <c r="G124" s="4" t="n"/>
      <c r="H124" s="5" t="n"/>
      <c r="I124" s="6" t="n"/>
      <c r="J124" s="7">
        <f>IF(AND(H124&lt;&gt;"",I124&lt;&gt;""),H124*I124,"")</f>
        <v/>
      </c>
      <c r="K124" s="8" t="n"/>
    </row>
    <row r="125">
      <c r="A125" s="9" t="n"/>
      <c r="B125" s="10" t="n"/>
      <c r="C125" s="10">
        <f>IF(A125="","",TEXT(A125,"MMMM YYYY"))</f>
        <v/>
      </c>
      <c r="D125" s="10" t="n"/>
      <c r="E125" s="10" t="n"/>
      <c r="F125" s="10" t="n"/>
      <c r="G125" s="10" t="n"/>
      <c r="H125" s="11" t="n"/>
      <c r="I125" s="12" t="n"/>
      <c r="J125" s="13">
        <f>IF(AND(H125&lt;&gt;"",I125&lt;&gt;""),H125*I125,"")</f>
        <v/>
      </c>
      <c r="K125" s="14" t="n"/>
    </row>
    <row r="126">
      <c r="A126" s="3" t="n"/>
      <c r="B126" s="4" t="n"/>
      <c r="C126" s="4">
        <f>IF(A126="","",TEXT(A126,"MMMM YYYY"))</f>
        <v/>
      </c>
      <c r="D126" s="4" t="n"/>
      <c r="E126" s="4" t="n"/>
      <c r="F126" s="4" t="n"/>
      <c r="G126" s="4" t="n"/>
      <c r="H126" s="5" t="n"/>
      <c r="I126" s="6" t="n"/>
      <c r="J126" s="7">
        <f>IF(AND(H126&lt;&gt;"",I126&lt;&gt;""),H126*I126,"")</f>
        <v/>
      </c>
      <c r="K126" s="8" t="n"/>
    </row>
    <row r="127">
      <c r="A127" s="9" t="n"/>
      <c r="B127" s="10" t="n"/>
      <c r="C127" s="10">
        <f>IF(A127="","",TEXT(A127,"MMMM YYYY"))</f>
        <v/>
      </c>
      <c r="D127" s="10" t="n"/>
      <c r="E127" s="10" t="n"/>
      <c r="F127" s="10" t="n"/>
      <c r="G127" s="10" t="n"/>
      <c r="H127" s="11" t="n"/>
      <c r="I127" s="12" t="n"/>
      <c r="J127" s="13">
        <f>IF(AND(H127&lt;&gt;"",I127&lt;&gt;""),H127*I127,"")</f>
        <v/>
      </c>
      <c r="K127" s="14" t="n"/>
    </row>
    <row r="128">
      <c r="A128" s="3" t="n"/>
      <c r="B128" s="4" t="n"/>
      <c r="C128" s="4">
        <f>IF(A128="","",TEXT(A128,"MMMM YYYY"))</f>
        <v/>
      </c>
      <c r="D128" s="4" t="n"/>
      <c r="E128" s="4" t="n"/>
      <c r="F128" s="4" t="n"/>
      <c r="G128" s="4" t="n"/>
      <c r="H128" s="5" t="n"/>
      <c r="I128" s="6" t="n"/>
      <c r="J128" s="7">
        <f>IF(AND(H128&lt;&gt;"",I128&lt;&gt;""),H128*I128,"")</f>
        <v/>
      </c>
      <c r="K128" s="8" t="n"/>
    </row>
    <row r="129">
      <c r="A129" s="9" t="n"/>
      <c r="B129" s="10" t="n"/>
      <c r="C129" s="10">
        <f>IF(A129="","",TEXT(A129,"MMMM YYYY"))</f>
        <v/>
      </c>
      <c r="D129" s="10" t="n"/>
      <c r="E129" s="10" t="n"/>
      <c r="F129" s="10" t="n"/>
      <c r="G129" s="10" t="n"/>
      <c r="H129" s="11" t="n"/>
      <c r="I129" s="12" t="n"/>
      <c r="J129" s="13">
        <f>IF(AND(H129&lt;&gt;"",I129&lt;&gt;""),H129*I129,"")</f>
        <v/>
      </c>
      <c r="K129" s="14" t="n"/>
    </row>
    <row r="130">
      <c r="A130" s="3" t="n"/>
      <c r="B130" s="4" t="n"/>
      <c r="C130" s="4">
        <f>IF(A130="","",TEXT(A130,"MMMM YYYY"))</f>
        <v/>
      </c>
      <c r="D130" s="4" t="n"/>
      <c r="E130" s="4" t="n"/>
      <c r="F130" s="4" t="n"/>
      <c r="G130" s="4" t="n"/>
      <c r="H130" s="5" t="n"/>
      <c r="I130" s="6" t="n"/>
      <c r="J130" s="7">
        <f>IF(AND(H130&lt;&gt;"",I130&lt;&gt;""),H130*I130,"")</f>
        <v/>
      </c>
      <c r="K130" s="8" t="n"/>
    </row>
    <row r="131">
      <c r="A131" s="9" t="n"/>
      <c r="B131" s="10" t="n"/>
      <c r="C131" s="10">
        <f>IF(A131="","",TEXT(A131,"MMMM YYYY"))</f>
        <v/>
      </c>
      <c r="D131" s="10" t="n"/>
      <c r="E131" s="10" t="n"/>
      <c r="F131" s="10" t="n"/>
      <c r="G131" s="10" t="n"/>
      <c r="H131" s="11" t="n"/>
      <c r="I131" s="12" t="n"/>
      <c r="J131" s="13">
        <f>IF(AND(H131&lt;&gt;"",I131&lt;&gt;""),H131*I131,"")</f>
        <v/>
      </c>
      <c r="K131" s="14" t="n"/>
    </row>
    <row r="132">
      <c r="A132" s="3" t="n"/>
      <c r="B132" s="4" t="n"/>
      <c r="C132" s="4">
        <f>IF(A132="","",TEXT(A132,"MMMM YYYY"))</f>
        <v/>
      </c>
      <c r="D132" s="4" t="n"/>
      <c r="E132" s="4" t="n"/>
      <c r="F132" s="4" t="n"/>
      <c r="G132" s="4" t="n"/>
      <c r="H132" s="5" t="n"/>
      <c r="I132" s="6" t="n"/>
      <c r="J132" s="7">
        <f>IF(AND(H132&lt;&gt;"",I132&lt;&gt;""),H132*I132,"")</f>
        <v/>
      </c>
      <c r="K132" s="8" t="n"/>
    </row>
    <row r="133">
      <c r="A133" s="9" t="n"/>
      <c r="B133" s="10" t="n"/>
      <c r="C133" s="10">
        <f>IF(A133="","",TEXT(A133,"MMMM YYYY"))</f>
        <v/>
      </c>
      <c r="D133" s="10" t="n"/>
      <c r="E133" s="10" t="n"/>
      <c r="F133" s="10" t="n"/>
      <c r="G133" s="10" t="n"/>
      <c r="H133" s="11" t="n"/>
      <c r="I133" s="12" t="n"/>
      <c r="J133" s="13">
        <f>IF(AND(H133&lt;&gt;"",I133&lt;&gt;""),H133*I133,"")</f>
        <v/>
      </c>
      <c r="K133" s="14" t="n"/>
    </row>
    <row r="134">
      <c r="A134" s="3" t="n"/>
      <c r="B134" s="4" t="n"/>
      <c r="C134" s="4">
        <f>IF(A134="","",TEXT(A134,"MMMM YYYY"))</f>
        <v/>
      </c>
      <c r="D134" s="4" t="n"/>
      <c r="E134" s="4" t="n"/>
      <c r="F134" s="4" t="n"/>
      <c r="G134" s="4" t="n"/>
      <c r="H134" s="5" t="n"/>
      <c r="I134" s="6" t="n"/>
      <c r="J134" s="7">
        <f>IF(AND(H134&lt;&gt;"",I134&lt;&gt;""),H134*I134,"")</f>
        <v/>
      </c>
      <c r="K134" s="8" t="n"/>
    </row>
    <row r="135">
      <c r="A135" s="9" t="n"/>
      <c r="B135" s="10" t="n"/>
      <c r="C135" s="10">
        <f>IF(A135="","",TEXT(A135,"MMMM YYYY"))</f>
        <v/>
      </c>
      <c r="D135" s="10" t="n"/>
      <c r="E135" s="10" t="n"/>
      <c r="F135" s="10" t="n"/>
      <c r="G135" s="10" t="n"/>
      <c r="H135" s="11" t="n"/>
      <c r="I135" s="12" t="n"/>
      <c r="J135" s="13">
        <f>IF(AND(H135&lt;&gt;"",I135&lt;&gt;""),H135*I135,"")</f>
        <v/>
      </c>
      <c r="K135" s="14" t="n"/>
    </row>
    <row r="136">
      <c r="A136" s="3" t="n"/>
      <c r="B136" s="4" t="n"/>
      <c r="C136" s="4">
        <f>IF(A136="","",TEXT(A136,"MMMM YYYY"))</f>
        <v/>
      </c>
      <c r="D136" s="4" t="n"/>
      <c r="E136" s="4" t="n"/>
      <c r="F136" s="4" t="n"/>
      <c r="G136" s="4" t="n"/>
      <c r="H136" s="5" t="n"/>
      <c r="I136" s="6" t="n"/>
      <c r="J136" s="7">
        <f>IF(AND(H136&lt;&gt;"",I136&lt;&gt;""),H136*I136,"")</f>
        <v/>
      </c>
      <c r="K136" s="8" t="n"/>
    </row>
    <row r="137">
      <c r="A137" s="9" t="n"/>
      <c r="B137" s="10" t="n"/>
      <c r="C137" s="10">
        <f>IF(A137="","",TEXT(A137,"MMMM YYYY"))</f>
        <v/>
      </c>
      <c r="D137" s="10" t="n"/>
      <c r="E137" s="10" t="n"/>
      <c r="F137" s="10" t="n"/>
      <c r="G137" s="10" t="n"/>
      <c r="H137" s="11" t="n"/>
      <c r="I137" s="12" t="n"/>
      <c r="J137" s="13">
        <f>IF(AND(H137&lt;&gt;"",I137&lt;&gt;""),H137*I137,"")</f>
        <v/>
      </c>
      <c r="K137" s="14" t="n"/>
    </row>
    <row r="138">
      <c r="A138" s="3" t="n"/>
      <c r="B138" s="4" t="n"/>
      <c r="C138" s="4">
        <f>IF(A138="","",TEXT(A138,"MMMM YYYY"))</f>
        <v/>
      </c>
      <c r="D138" s="4" t="n"/>
      <c r="E138" s="4" t="n"/>
      <c r="F138" s="4" t="n"/>
      <c r="G138" s="4" t="n"/>
      <c r="H138" s="5" t="n"/>
      <c r="I138" s="6" t="n"/>
      <c r="J138" s="7">
        <f>IF(AND(H138&lt;&gt;"",I138&lt;&gt;""),H138*I138,"")</f>
        <v/>
      </c>
      <c r="K138" s="8" t="n"/>
    </row>
    <row r="139">
      <c r="A139" s="9" t="n"/>
      <c r="B139" s="10" t="n"/>
      <c r="C139" s="10">
        <f>IF(A139="","",TEXT(A139,"MMMM YYYY"))</f>
        <v/>
      </c>
      <c r="D139" s="10" t="n"/>
      <c r="E139" s="10" t="n"/>
      <c r="F139" s="10" t="n"/>
      <c r="G139" s="10" t="n"/>
      <c r="H139" s="11" t="n"/>
      <c r="I139" s="12" t="n"/>
      <c r="J139" s="13">
        <f>IF(AND(H139&lt;&gt;"",I139&lt;&gt;""),H139*I139,"")</f>
        <v/>
      </c>
      <c r="K139" s="14" t="n"/>
    </row>
    <row r="140">
      <c r="A140" s="3" t="n"/>
      <c r="B140" s="4" t="n"/>
      <c r="C140" s="4">
        <f>IF(A140="","",TEXT(A140,"MMMM YYYY"))</f>
        <v/>
      </c>
      <c r="D140" s="4" t="n"/>
      <c r="E140" s="4" t="n"/>
      <c r="F140" s="4" t="n"/>
      <c r="G140" s="4" t="n"/>
      <c r="H140" s="5" t="n"/>
      <c r="I140" s="6" t="n"/>
      <c r="J140" s="7">
        <f>IF(AND(H140&lt;&gt;"",I140&lt;&gt;""),H140*I140,"")</f>
        <v/>
      </c>
      <c r="K140" s="8" t="n"/>
    </row>
    <row r="141">
      <c r="A141" s="9" t="n"/>
      <c r="B141" s="10" t="n"/>
      <c r="C141" s="10">
        <f>IF(A141="","",TEXT(A141,"MMMM YYYY"))</f>
        <v/>
      </c>
      <c r="D141" s="10" t="n"/>
      <c r="E141" s="10" t="n"/>
      <c r="F141" s="10" t="n"/>
      <c r="G141" s="10" t="n"/>
      <c r="H141" s="11" t="n"/>
      <c r="I141" s="12" t="n"/>
      <c r="J141" s="13">
        <f>IF(AND(H141&lt;&gt;"",I141&lt;&gt;""),H141*I141,"")</f>
        <v/>
      </c>
      <c r="K141" s="14" t="n"/>
    </row>
    <row r="142">
      <c r="A142" s="3" t="n"/>
      <c r="B142" s="4" t="n"/>
      <c r="C142" s="4">
        <f>IF(A142="","",TEXT(A142,"MMMM YYYY"))</f>
        <v/>
      </c>
      <c r="D142" s="4" t="n"/>
      <c r="E142" s="4" t="n"/>
      <c r="F142" s="4" t="n"/>
      <c r="G142" s="4" t="n"/>
      <c r="H142" s="5" t="n"/>
      <c r="I142" s="6" t="n"/>
      <c r="J142" s="7">
        <f>IF(AND(H142&lt;&gt;"",I142&lt;&gt;""),H142*I142,"")</f>
        <v/>
      </c>
      <c r="K142" s="8" t="n"/>
    </row>
    <row r="143">
      <c r="A143" s="9" t="n"/>
      <c r="B143" s="10" t="n"/>
      <c r="C143" s="10">
        <f>IF(A143="","",TEXT(A143,"MMMM YYYY"))</f>
        <v/>
      </c>
      <c r="D143" s="10" t="n"/>
      <c r="E143" s="10" t="n"/>
      <c r="F143" s="10" t="n"/>
      <c r="G143" s="10" t="n"/>
      <c r="H143" s="11" t="n"/>
      <c r="I143" s="12" t="n"/>
      <c r="J143" s="13">
        <f>IF(AND(H143&lt;&gt;"",I143&lt;&gt;""),H143*I143,"")</f>
        <v/>
      </c>
      <c r="K143" s="14" t="n"/>
    </row>
    <row r="144">
      <c r="A144" s="3" t="n"/>
      <c r="B144" s="4" t="n"/>
      <c r="C144" s="4">
        <f>IF(A144="","",TEXT(A144,"MMMM YYYY"))</f>
        <v/>
      </c>
      <c r="D144" s="4" t="n"/>
      <c r="E144" s="4" t="n"/>
      <c r="F144" s="4" t="n"/>
      <c r="G144" s="4" t="n"/>
      <c r="H144" s="5" t="n"/>
      <c r="I144" s="6" t="n"/>
      <c r="J144" s="7">
        <f>IF(AND(H144&lt;&gt;"",I144&lt;&gt;""),H144*I144,"")</f>
        <v/>
      </c>
      <c r="K144" s="8" t="n"/>
    </row>
    <row r="145">
      <c r="A145" s="9" t="n"/>
      <c r="B145" s="10" t="n"/>
      <c r="C145" s="10">
        <f>IF(A145="","",TEXT(A145,"MMMM YYYY"))</f>
        <v/>
      </c>
      <c r="D145" s="10" t="n"/>
      <c r="E145" s="10" t="n"/>
      <c r="F145" s="10" t="n"/>
      <c r="G145" s="10" t="n"/>
      <c r="H145" s="11" t="n"/>
      <c r="I145" s="12" t="n"/>
      <c r="J145" s="13">
        <f>IF(AND(H145&lt;&gt;"",I145&lt;&gt;""),H145*I145,"")</f>
        <v/>
      </c>
      <c r="K145" s="14" t="n"/>
    </row>
    <row r="146">
      <c r="A146" s="3" t="n"/>
      <c r="B146" s="4" t="n"/>
      <c r="C146" s="4">
        <f>IF(A146="","",TEXT(A146,"MMMM YYYY"))</f>
        <v/>
      </c>
      <c r="D146" s="4" t="n"/>
      <c r="E146" s="4" t="n"/>
      <c r="F146" s="4" t="n"/>
      <c r="G146" s="4" t="n"/>
      <c r="H146" s="5" t="n"/>
      <c r="I146" s="6" t="n"/>
      <c r="J146" s="7">
        <f>IF(AND(H146&lt;&gt;"",I146&lt;&gt;""),H146*I146,"")</f>
        <v/>
      </c>
      <c r="K146" s="8" t="n"/>
    </row>
    <row r="147">
      <c r="A147" s="9" t="n"/>
      <c r="B147" s="10" t="n"/>
      <c r="C147" s="10">
        <f>IF(A147="","",TEXT(A147,"MMMM YYYY"))</f>
        <v/>
      </c>
      <c r="D147" s="10" t="n"/>
      <c r="E147" s="10" t="n"/>
      <c r="F147" s="10" t="n"/>
      <c r="G147" s="10" t="n"/>
      <c r="H147" s="11" t="n"/>
      <c r="I147" s="12" t="n"/>
      <c r="J147" s="13">
        <f>IF(AND(H147&lt;&gt;"",I147&lt;&gt;""),H147*I147,"")</f>
        <v/>
      </c>
      <c r="K147" s="14" t="n"/>
    </row>
    <row r="148">
      <c r="A148" s="3" t="n"/>
      <c r="B148" s="4" t="n"/>
      <c r="C148" s="4">
        <f>IF(A148="","",TEXT(A148,"MMMM YYYY"))</f>
        <v/>
      </c>
      <c r="D148" s="4" t="n"/>
      <c r="E148" s="4" t="n"/>
      <c r="F148" s="4" t="n"/>
      <c r="G148" s="4" t="n"/>
      <c r="H148" s="5" t="n"/>
      <c r="I148" s="6" t="n"/>
      <c r="J148" s="7">
        <f>IF(AND(H148&lt;&gt;"",I148&lt;&gt;""),H148*I148,"")</f>
        <v/>
      </c>
      <c r="K148" s="8" t="n"/>
    </row>
    <row r="149">
      <c r="A149" s="9" t="n"/>
      <c r="B149" s="10" t="n"/>
      <c r="C149" s="10">
        <f>IF(A149="","",TEXT(A149,"MMMM YYYY"))</f>
        <v/>
      </c>
      <c r="D149" s="10" t="n"/>
      <c r="E149" s="10" t="n"/>
      <c r="F149" s="10" t="n"/>
      <c r="G149" s="10" t="n"/>
      <c r="H149" s="11" t="n"/>
      <c r="I149" s="12" t="n"/>
      <c r="J149" s="13">
        <f>IF(AND(H149&lt;&gt;"",I149&lt;&gt;""),H149*I149,"")</f>
        <v/>
      </c>
      <c r="K149" s="14" t="n"/>
    </row>
    <row r="150">
      <c r="A150" s="3" t="n"/>
      <c r="B150" s="4" t="n"/>
      <c r="C150" s="4">
        <f>IF(A150="","",TEXT(A150,"MMMM YYYY"))</f>
        <v/>
      </c>
      <c r="D150" s="4" t="n"/>
      <c r="E150" s="4" t="n"/>
      <c r="F150" s="4" t="n"/>
      <c r="G150" s="4" t="n"/>
      <c r="H150" s="5" t="n"/>
      <c r="I150" s="6" t="n"/>
      <c r="J150" s="7">
        <f>IF(AND(H150&lt;&gt;"",I150&lt;&gt;""),H150*I150,"")</f>
        <v/>
      </c>
      <c r="K150" s="8" t="n"/>
    </row>
    <row r="151">
      <c r="A151" s="9" t="n"/>
      <c r="B151" s="10" t="n"/>
      <c r="C151" s="10">
        <f>IF(A151="","",TEXT(A151,"MMMM YYYY"))</f>
        <v/>
      </c>
      <c r="D151" s="10" t="n"/>
      <c r="E151" s="10" t="n"/>
      <c r="F151" s="10" t="n"/>
      <c r="G151" s="10" t="n"/>
      <c r="H151" s="11" t="n"/>
      <c r="I151" s="12" t="n"/>
      <c r="J151" s="13">
        <f>IF(AND(H151&lt;&gt;"",I151&lt;&gt;""),H151*I151,"")</f>
        <v/>
      </c>
      <c r="K151" s="14" t="n"/>
    </row>
    <row r="152">
      <c r="A152" s="3" t="n"/>
      <c r="B152" s="4" t="n"/>
      <c r="C152" s="4">
        <f>IF(A152="","",TEXT(A152,"MMMM YYYY"))</f>
        <v/>
      </c>
      <c r="D152" s="4" t="n"/>
      <c r="E152" s="4" t="n"/>
      <c r="F152" s="4" t="n"/>
      <c r="G152" s="4" t="n"/>
      <c r="H152" s="5" t="n"/>
      <c r="I152" s="6" t="n"/>
      <c r="J152" s="7">
        <f>IF(AND(H152&lt;&gt;"",I152&lt;&gt;""),H152*I152,"")</f>
        <v/>
      </c>
      <c r="K152" s="8" t="n"/>
    </row>
    <row r="153">
      <c r="A153" s="9" t="n"/>
      <c r="B153" s="10" t="n"/>
      <c r="C153" s="10">
        <f>IF(A153="","",TEXT(A153,"MMMM YYYY"))</f>
        <v/>
      </c>
      <c r="D153" s="10" t="n"/>
      <c r="E153" s="10" t="n"/>
      <c r="F153" s="10" t="n"/>
      <c r="G153" s="10" t="n"/>
      <c r="H153" s="11" t="n"/>
      <c r="I153" s="12" t="n"/>
      <c r="J153" s="13">
        <f>IF(AND(H153&lt;&gt;"",I153&lt;&gt;""),H153*I153,"")</f>
        <v/>
      </c>
      <c r="K153" s="14" t="n"/>
    </row>
    <row r="154">
      <c r="A154" s="3" t="n"/>
      <c r="B154" s="4" t="n"/>
      <c r="C154" s="4">
        <f>IF(A154="","",TEXT(A154,"MMMM YYYY"))</f>
        <v/>
      </c>
      <c r="D154" s="4" t="n"/>
      <c r="E154" s="4" t="n"/>
      <c r="F154" s="4" t="n"/>
      <c r="G154" s="4" t="n"/>
      <c r="H154" s="5" t="n"/>
      <c r="I154" s="6" t="n"/>
      <c r="J154" s="7">
        <f>IF(AND(H154&lt;&gt;"",I154&lt;&gt;""),H154*I154,"")</f>
        <v/>
      </c>
      <c r="K154" s="8" t="n"/>
    </row>
    <row r="155">
      <c r="A155" s="9" t="n"/>
      <c r="B155" s="10" t="n"/>
      <c r="C155" s="10">
        <f>IF(A155="","",TEXT(A155,"MMMM YYYY"))</f>
        <v/>
      </c>
      <c r="D155" s="10" t="n"/>
      <c r="E155" s="10" t="n"/>
      <c r="F155" s="10" t="n"/>
      <c r="G155" s="10" t="n"/>
      <c r="H155" s="11" t="n"/>
      <c r="I155" s="12" t="n"/>
      <c r="J155" s="13">
        <f>IF(AND(H155&lt;&gt;"",I155&lt;&gt;""),H155*I155,"")</f>
        <v/>
      </c>
      <c r="K155" s="14" t="n"/>
    </row>
    <row r="156">
      <c r="A156" s="3" t="n"/>
      <c r="B156" s="4" t="n"/>
      <c r="C156" s="4">
        <f>IF(A156="","",TEXT(A156,"MMMM YYYY"))</f>
        <v/>
      </c>
      <c r="D156" s="4" t="n"/>
      <c r="E156" s="4" t="n"/>
      <c r="F156" s="4" t="n"/>
      <c r="G156" s="4" t="n"/>
      <c r="H156" s="5" t="n"/>
      <c r="I156" s="6" t="n"/>
      <c r="J156" s="7">
        <f>IF(AND(H156&lt;&gt;"",I156&lt;&gt;""),H156*I156,"")</f>
        <v/>
      </c>
      <c r="K156" s="8" t="n"/>
    </row>
    <row r="157">
      <c r="A157" s="9" t="n"/>
      <c r="B157" s="10" t="n"/>
      <c r="C157" s="10">
        <f>IF(A157="","",TEXT(A157,"MMMM YYYY"))</f>
        <v/>
      </c>
      <c r="D157" s="10" t="n"/>
      <c r="E157" s="10" t="n"/>
      <c r="F157" s="10" t="n"/>
      <c r="G157" s="10" t="n"/>
      <c r="H157" s="11" t="n"/>
      <c r="I157" s="12" t="n"/>
      <c r="J157" s="13">
        <f>IF(AND(H157&lt;&gt;"",I157&lt;&gt;""),H157*I157,"")</f>
        <v/>
      </c>
      <c r="K157" s="14" t="n"/>
    </row>
    <row r="158">
      <c r="A158" s="3" t="n"/>
      <c r="B158" s="4" t="n"/>
      <c r="C158" s="4">
        <f>IF(A158="","",TEXT(A158,"MMMM YYYY"))</f>
        <v/>
      </c>
      <c r="D158" s="4" t="n"/>
      <c r="E158" s="4" t="n"/>
      <c r="F158" s="4" t="n"/>
      <c r="G158" s="4" t="n"/>
      <c r="H158" s="5" t="n"/>
      <c r="I158" s="6" t="n"/>
      <c r="J158" s="7">
        <f>IF(AND(H158&lt;&gt;"",I158&lt;&gt;""),H158*I158,"")</f>
        <v/>
      </c>
      <c r="K158" s="8" t="n"/>
    </row>
    <row r="159">
      <c r="A159" s="9" t="n"/>
      <c r="B159" s="10" t="n"/>
      <c r="C159" s="10">
        <f>IF(A159="","",TEXT(A159,"MMMM YYYY"))</f>
        <v/>
      </c>
      <c r="D159" s="10" t="n"/>
      <c r="E159" s="10" t="n"/>
      <c r="F159" s="10" t="n"/>
      <c r="G159" s="10" t="n"/>
      <c r="H159" s="11" t="n"/>
      <c r="I159" s="12" t="n"/>
      <c r="J159" s="13">
        <f>IF(AND(H159&lt;&gt;"",I159&lt;&gt;""),H159*I159,"")</f>
        <v/>
      </c>
      <c r="K159" s="14" t="n"/>
    </row>
    <row r="160">
      <c r="A160" s="3" t="n"/>
      <c r="B160" s="4" t="n"/>
      <c r="C160" s="4">
        <f>IF(A160="","",TEXT(A160,"MMMM YYYY"))</f>
        <v/>
      </c>
      <c r="D160" s="4" t="n"/>
      <c r="E160" s="4" t="n"/>
      <c r="F160" s="4" t="n"/>
      <c r="G160" s="4" t="n"/>
      <c r="H160" s="5" t="n"/>
      <c r="I160" s="6" t="n"/>
      <c r="J160" s="7">
        <f>IF(AND(H160&lt;&gt;"",I160&lt;&gt;""),H160*I160,"")</f>
        <v/>
      </c>
      <c r="K160" s="8" t="n"/>
    </row>
    <row r="161">
      <c r="A161" s="9" t="n"/>
      <c r="B161" s="10" t="n"/>
      <c r="C161" s="10">
        <f>IF(A161="","",TEXT(A161,"MMMM YYYY"))</f>
        <v/>
      </c>
      <c r="D161" s="10" t="n"/>
      <c r="E161" s="10" t="n"/>
      <c r="F161" s="10" t="n"/>
      <c r="G161" s="10" t="n"/>
      <c r="H161" s="11" t="n"/>
      <c r="I161" s="12" t="n"/>
      <c r="J161" s="13">
        <f>IF(AND(H161&lt;&gt;"",I161&lt;&gt;""),H161*I161,"")</f>
        <v/>
      </c>
      <c r="K161" s="14" t="n"/>
    </row>
    <row r="162">
      <c r="A162" s="3" t="n"/>
      <c r="B162" s="4" t="n"/>
      <c r="C162" s="4">
        <f>IF(A162="","",TEXT(A162,"MMMM YYYY"))</f>
        <v/>
      </c>
      <c r="D162" s="4" t="n"/>
      <c r="E162" s="4" t="n"/>
      <c r="F162" s="4" t="n"/>
      <c r="G162" s="4" t="n"/>
      <c r="H162" s="5" t="n"/>
      <c r="I162" s="6" t="n"/>
      <c r="J162" s="7">
        <f>IF(AND(H162&lt;&gt;"",I162&lt;&gt;""),H162*I162,"")</f>
        <v/>
      </c>
      <c r="K162" s="8" t="n"/>
    </row>
    <row r="163">
      <c r="A163" s="9" t="n"/>
      <c r="B163" s="10" t="n"/>
      <c r="C163" s="10">
        <f>IF(A163="","",TEXT(A163,"MMMM YYYY"))</f>
        <v/>
      </c>
      <c r="D163" s="10" t="n"/>
      <c r="E163" s="10" t="n"/>
      <c r="F163" s="10" t="n"/>
      <c r="G163" s="10" t="n"/>
      <c r="H163" s="11" t="n"/>
      <c r="I163" s="12" t="n"/>
      <c r="J163" s="13">
        <f>IF(AND(H163&lt;&gt;"",I163&lt;&gt;""),H163*I163,"")</f>
        <v/>
      </c>
      <c r="K163" s="14" t="n"/>
    </row>
    <row r="164">
      <c r="A164" s="3" t="n"/>
      <c r="B164" s="4" t="n"/>
      <c r="C164" s="4">
        <f>IF(A164="","",TEXT(A164,"MMMM YYYY"))</f>
        <v/>
      </c>
      <c r="D164" s="4" t="n"/>
      <c r="E164" s="4" t="n"/>
      <c r="F164" s="4" t="n"/>
      <c r="G164" s="4" t="n"/>
      <c r="H164" s="5" t="n"/>
      <c r="I164" s="6" t="n"/>
      <c r="J164" s="7">
        <f>IF(AND(H164&lt;&gt;"",I164&lt;&gt;""),H164*I164,"")</f>
        <v/>
      </c>
      <c r="K164" s="8" t="n"/>
    </row>
    <row r="165">
      <c r="A165" s="9" t="n"/>
      <c r="B165" s="10" t="n"/>
      <c r="C165" s="10">
        <f>IF(A165="","",TEXT(A165,"MMMM YYYY"))</f>
        <v/>
      </c>
      <c r="D165" s="10" t="n"/>
      <c r="E165" s="10" t="n"/>
      <c r="F165" s="10" t="n"/>
      <c r="G165" s="10" t="n"/>
      <c r="H165" s="11" t="n"/>
      <c r="I165" s="12" t="n"/>
      <c r="J165" s="13">
        <f>IF(AND(H165&lt;&gt;"",I165&lt;&gt;""),H165*I165,"")</f>
        <v/>
      </c>
      <c r="K165" s="14" t="n"/>
    </row>
    <row r="166">
      <c r="A166" s="3" t="n"/>
      <c r="B166" s="4" t="n"/>
      <c r="C166" s="4">
        <f>IF(A166="","",TEXT(A166,"MMMM YYYY"))</f>
        <v/>
      </c>
      <c r="D166" s="4" t="n"/>
      <c r="E166" s="4" t="n"/>
      <c r="F166" s="4" t="n"/>
      <c r="G166" s="4" t="n"/>
      <c r="H166" s="5" t="n"/>
      <c r="I166" s="6" t="n"/>
      <c r="J166" s="7">
        <f>IF(AND(H166&lt;&gt;"",I166&lt;&gt;""),H166*I166,"")</f>
        <v/>
      </c>
      <c r="K166" s="8" t="n"/>
    </row>
    <row r="167">
      <c r="A167" s="9" t="n"/>
      <c r="B167" s="10" t="n"/>
      <c r="C167" s="10">
        <f>IF(A167="","",TEXT(A167,"MMMM YYYY"))</f>
        <v/>
      </c>
      <c r="D167" s="10" t="n"/>
      <c r="E167" s="10" t="n"/>
      <c r="F167" s="10" t="n"/>
      <c r="G167" s="10" t="n"/>
      <c r="H167" s="11" t="n"/>
      <c r="I167" s="12" t="n"/>
      <c r="J167" s="13">
        <f>IF(AND(H167&lt;&gt;"",I167&lt;&gt;""),H167*I167,"")</f>
        <v/>
      </c>
      <c r="K167" s="14" t="n"/>
    </row>
    <row r="168">
      <c r="A168" s="3" t="n"/>
      <c r="B168" s="4" t="n"/>
      <c r="C168" s="4">
        <f>IF(A168="","",TEXT(A168,"MMMM YYYY"))</f>
        <v/>
      </c>
      <c r="D168" s="4" t="n"/>
      <c r="E168" s="4" t="n"/>
      <c r="F168" s="4" t="n"/>
      <c r="G168" s="4" t="n"/>
      <c r="H168" s="5" t="n"/>
      <c r="I168" s="6" t="n"/>
      <c r="J168" s="7">
        <f>IF(AND(H168&lt;&gt;"",I168&lt;&gt;""),H168*I168,"")</f>
        <v/>
      </c>
      <c r="K168" s="8" t="n"/>
    </row>
    <row r="169">
      <c r="A169" s="9" t="n"/>
      <c r="B169" s="10" t="n"/>
      <c r="C169" s="10">
        <f>IF(A169="","",TEXT(A169,"MMMM YYYY"))</f>
        <v/>
      </c>
      <c r="D169" s="10" t="n"/>
      <c r="E169" s="10" t="n"/>
      <c r="F169" s="10" t="n"/>
      <c r="G169" s="10" t="n"/>
      <c r="H169" s="11" t="n"/>
      <c r="I169" s="12" t="n"/>
      <c r="J169" s="13">
        <f>IF(AND(H169&lt;&gt;"",I169&lt;&gt;""),H169*I169,"")</f>
        <v/>
      </c>
      <c r="K169" s="14" t="n"/>
    </row>
    <row r="170">
      <c r="A170" s="3" t="n"/>
      <c r="B170" s="4" t="n"/>
      <c r="C170" s="4">
        <f>IF(A170="","",TEXT(A170,"MMMM YYYY"))</f>
        <v/>
      </c>
      <c r="D170" s="4" t="n"/>
      <c r="E170" s="4" t="n"/>
      <c r="F170" s="4" t="n"/>
      <c r="G170" s="4" t="n"/>
      <c r="H170" s="5" t="n"/>
      <c r="I170" s="6" t="n"/>
      <c r="J170" s="7">
        <f>IF(AND(H170&lt;&gt;"",I170&lt;&gt;""),H170*I170,"")</f>
        <v/>
      </c>
      <c r="K170" s="8" t="n"/>
    </row>
    <row r="171">
      <c r="A171" s="9" t="n"/>
      <c r="B171" s="10" t="n"/>
      <c r="C171" s="10">
        <f>IF(A171="","",TEXT(A171,"MMMM YYYY"))</f>
        <v/>
      </c>
      <c r="D171" s="10" t="n"/>
      <c r="E171" s="10" t="n"/>
      <c r="F171" s="10" t="n"/>
      <c r="G171" s="10" t="n"/>
      <c r="H171" s="11" t="n"/>
      <c r="I171" s="12" t="n"/>
      <c r="J171" s="13">
        <f>IF(AND(H171&lt;&gt;"",I171&lt;&gt;""),H171*I171,"")</f>
        <v/>
      </c>
      <c r="K171" s="14" t="n"/>
    </row>
    <row r="172">
      <c r="A172" s="3" t="n"/>
      <c r="B172" s="4" t="n"/>
      <c r="C172" s="4">
        <f>IF(A172="","",TEXT(A172,"MMMM YYYY"))</f>
        <v/>
      </c>
      <c r="D172" s="4" t="n"/>
      <c r="E172" s="4" t="n"/>
      <c r="F172" s="4" t="n"/>
      <c r="G172" s="4" t="n"/>
      <c r="H172" s="5" t="n"/>
      <c r="I172" s="6" t="n"/>
      <c r="J172" s="7">
        <f>IF(AND(H172&lt;&gt;"",I172&lt;&gt;""),H172*I172,"")</f>
        <v/>
      </c>
      <c r="K172" s="8" t="n"/>
    </row>
    <row r="173">
      <c r="A173" s="9" t="n"/>
      <c r="B173" s="10" t="n"/>
      <c r="C173" s="10">
        <f>IF(A173="","",TEXT(A173,"MMMM YYYY"))</f>
        <v/>
      </c>
      <c r="D173" s="10" t="n"/>
      <c r="E173" s="10" t="n"/>
      <c r="F173" s="10" t="n"/>
      <c r="G173" s="10" t="n"/>
      <c r="H173" s="11" t="n"/>
      <c r="I173" s="12" t="n"/>
      <c r="J173" s="13">
        <f>IF(AND(H173&lt;&gt;"",I173&lt;&gt;""),H173*I173,"")</f>
        <v/>
      </c>
      <c r="K173" s="14" t="n"/>
    </row>
    <row r="174">
      <c r="A174" s="3" t="n"/>
      <c r="B174" s="4" t="n"/>
      <c r="C174" s="4">
        <f>IF(A174="","",TEXT(A174,"MMMM YYYY"))</f>
        <v/>
      </c>
      <c r="D174" s="4" t="n"/>
      <c r="E174" s="4" t="n"/>
      <c r="F174" s="4" t="n"/>
      <c r="G174" s="4" t="n"/>
      <c r="H174" s="5" t="n"/>
      <c r="I174" s="6" t="n"/>
      <c r="J174" s="7">
        <f>IF(AND(H174&lt;&gt;"",I174&lt;&gt;""),H174*I174,"")</f>
        <v/>
      </c>
      <c r="K174" s="8" t="n"/>
    </row>
    <row r="175">
      <c r="A175" s="9" t="n"/>
      <c r="B175" s="10" t="n"/>
      <c r="C175" s="10">
        <f>IF(A175="","",TEXT(A175,"MMMM YYYY"))</f>
        <v/>
      </c>
      <c r="D175" s="10" t="n"/>
      <c r="E175" s="10" t="n"/>
      <c r="F175" s="10" t="n"/>
      <c r="G175" s="10" t="n"/>
      <c r="H175" s="11" t="n"/>
      <c r="I175" s="12" t="n"/>
      <c r="J175" s="13">
        <f>IF(AND(H175&lt;&gt;"",I175&lt;&gt;""),H175*I175,"")</f>
        <v/>
      </c>
      <c r="K175" s="14" t="n"/>
    </row>
    <row r="176">
      <c r="A176" s="3" t="n"/>
      <c r="B176" s="4" t="n"/>
      <c r="C176" s="4">
        <f>IF(A176="","",TEXT(A176,"MMMM YYYY"))</f>
        <v/>
      </c>
      <c r="D176" s="4" t="n"/>
      <c r="E176" s="4" t="n"/>
      <c r="F176" s="4" t="n"/>
      <c r="G176" s="4" t="n"/>
      <c r="H176" s="5" t="n"/>
      <c r="I176" s="6" t="n"/>
      <c r="J176" s="7">
        <f>IF(AND(H176&lt;&gt;"",I176&lt;&gt;""),H176*I176,"")</f>
        <v/>
      </c>
      <c r="K176" s="8" t="n"/>
    </row>
    <row r="177">
      <c r="A177" s="9" t="n"/>
      <c r="B177" s="10" t="n"/>
      <c r="C177" s="10">
        <f>IF(A177="","",TEXT(A177,"MMMM YYYY"))</f>
        <v/>
      </c>
      <c r="D177" s="10" t="n"/>
      <c r="E177" s="10" t="n"/>
      <c r="F177" s="10" t="n"/>
      <c r="G177" s="10" t="n"/>
      <c r="H177" s="11" t="n"/>
      <c r="I177" s="12" t="n"/>
      <c r="J177" s="13">
        <f>IF(AND(H177&lt;&gt;"",I177&lt;&gt;""),H177*I177,"")</f>
        <v/>
      </c>
      <c r="K177" s="14" t="n"/>
    </row>
    <row r="178">
      <c r="A178" s="3" t="n"/>
      <c r="B178" s="4" t="n"/>
      <c r="C178" s="4">
        <f>IF(A178="","",TEXT(A178,"MMMM YYYY"))</f>
        <v/>
      </c>
      <c r="D178" s="4" t="n"/>
      <c r="E178" s="4" t="n"/>
      <c r="F178" s="4" t="n"/>
      <c r="G178" s="4" t="n"/>
      <c r="H178" s="5" t="n"/>
      <c r="I178" s="6" t="n"/>
      <c r="J178" s="7">
        <f>IF(AND(H178&lt;&gt;"",I178&lt;&gt;""),H178*I178,"")</f>
        <v/>
      </c>
      <c r="K178" s="8" t="n"/>
    </row>
    <row r="179">
      <c r="A179" s="9" t="n"/>
      <c r="B179" s="10" t="n"/>
      <c r="C179" s="10">
        <f>IF(A179="","",TEXT(A179,"MMMM YYYY"))</f>
        <v/>
      </c>
      <c r="D179" s="10" t="n"/>
      <c r="E179" s="10" t="n"/>
      <c r="F179" s="10" t="n"/>
      <c r="G179" s="10" t="n"/>
      <c r="H179" s="11" t="n"/>
      <c r="I179" s="12" t="n"/>
      <c r="J179" s="13">
        <f>IF(AND(H179&lt;&gt;"",I179&lt;&gt;""),H179*I179,"")</f>
        <v/>
      </c>
      <c r="K179" s="14" t="n"/>
    </row>
    <row r="180">
      <c r="A180" s="3" t="n"/>
      <c r="B180" s="4" t="n"/>
      <c r="C180" s="4">
        <f>IF(A180="","",TEXT(A180,"MMMM YYYY"))</f>
        <v/>
      </c>
      <c r="D180" s="4" t="n"/>
      <c r="E180" s="4" t="n"/>
      <c r="F180" s="4" t="n"/>
      <c r="G180" s="4" t="n"/>
      <c r="H180" s="5" t="n"/>
      <c r="I180" s="6" t="n"/>
      <c r="J180" s="7">
        <f>IF(AND(H180&lt;&gt;"",I180&lt;&gt;""),H180*I180,"")</f>
        <v/>
      </c>
      <c r="K180" s="8" t="n"/>
    </row>
    <row r="181">
      <c r="A181" s="9" t="n"/>
      <c r="B181" s="10" t="n"/>
      <c r="C181" s="10">
        <f>IF(A181="","",TEXT(A181,"MMMM YYYY"))</f>
        <v/>
      </c>
      <c r="D181" s="10" t="n"/>
      <c r="E181" s="10" t="n"/>
      <c r="F181" s="10" t="n"/>
      <c r="G181" s="10" t="n"/>
      <c r="H181" s="11" t="n"/>
      <c r="I181" s="12" t="n"/>
      <c r="J181" s="13">
        <f>IF(AND(H181&lt;&gt;"",I181&lt;&gt;""),H181*I181,"")</f>
        <v/>
      </c>
      <c r="K181" s="14" t="n"/>
    </row>
    <row r="182">
      <c r="A182" s="3" t="n"/>
      <c r="B182" s="4" t="n"/>
      <c r="C182" s="4">
        <f>IF(A182="","",TEXT(A182,"MMMM YYYY"))</f>
        <v/>
      </c>
      <c r="D182" s="4" t="n"/>
      <c r="E182" s="4" t="n"/>
      <c r="F182" s="4" t="n"/>
      <c r="G182" s="4" t="n"/>
      <c r="H182" s="5" t="n"/>
      <c r="I182" s="6" t="n"/>
      <c r="J182" s="7">
        <f>IF(AND(H182&lt;&gt;"",I182&lt;&gt;""),H182*I182,"")</f>
        <v/>
      </c>
      <c r="K182" s="8" t="n"/>
    </row>
    <row r="183">
      <c r="A183" s="9" t="n"/>
      <c r="B183" s="10" t="n"/>
      <c r="C183" s="10">
        <f>IF(A183="","",TEXT(A183,"MMMM YYYY"))</f>
        <v/>
      </c>
      <c r="D183" s="10" t="n"/>
      <c r="E183" s="10" t="n"/>
      <c r="F183" s="10" t="n"/>
      <c r="G183" s="10" t="n"/>
      <c r="H183" s="11" t="n"/>
      <c r="I183" s="12" t="n"/>
      <c r="J183" s="13">
        <f>IF(AND(H183&lt;&gt;"",I183&lt;&gt;""),H183*I183,"")</f>
        <v/>
      </c>
      <c r="K183" s="14" t="n"/>
    </row>
    <row r="184">
      <c r="A184" s="3" t="n"/>
      <c r="B184" s="4" t="n"/>
      <c r="C184" s="4">
        <f>IF(A184="","",TEXT(A184,"MMMM YYYY"))</f>
        <v/>
      </c>
      <c r="D184" s="4" t="n"/>
      <c r="E184" s="4" t="n"/>
      <c r="F184" s="4" t="n"/>
      <c r="G184" s="4" t="n"/>
      <c r="H184" s="5" t="n"/>
      <c r="I184" s="6" t="n"/>
      <c r="J184" s="7">
        <f>IF(AND(H184&lt;&gt;"",I184&lt;&gt;""),H184*I184,"")</f>
        <v/>
      </c>
      <c r="K184" s="8" t="n"/>
    </row>
    <row r="185">
      <c r="A185" s="9" t="n"/>
      <c r="B185" s="10" t="n"/>
      <c r="C185" s="10">
        <f>IF(A185="","",TEXT(A185,"MMMM YYYY"))</f>
        <v/>
      </c>
      <c r="D185" s="10" t="n"/>
      <c r="E185" s="10" t="n"/>
      <c r="F185" s="10" t="n"/>
      <c r="G185" s="10" t="n"/>
      <c r="H185" s="11" t="n"/>
      <c r="I185" s="12" t="n"/>
      <c r="J185" s="13">
        <f>IF(AND(H185&lt;&gt;"",I185&lt;&gt;""),H185*I185,"")</f>
        <v/>
      </c>
      <c r="K185" s="14" t="n"/>
    </row>
    <row r="186">
      <c r="A186" s="3" t="n"/>
      <c r="B186" s="4" t="n"/>
      <c r="C186" s="4">
        <f>IF(A186="","",TEXT(A186,"MMMM YYYY"))</f>
        <v/>
      </c>
      <c r="D186" s="4" t="n"/>
      <c r="E186" s="4" t="n"/>
      <c r="F186" s="4" t="n"/>
      <c r="G186" s="4" t="n"/>
      <c r="H186" s="5" t="n"/>
      <c r="I186" s="6" t="n"/>
      <c r="J186" s="7">
        <f>IF(AND(H186&lt;&gt;"",I186&lt;&gt;""),H186*I186,"")</f>
        <v/>
      </c>
      <c r="K186" s="8" t="n"/>
    </row>
    <row r="187">
      <c r="A187" s="9" t="n"/>
      <c r="B187" s="10" t="n"/>
      <c r="C187" s="10">
        <f>IF(A187="","",TEXT(A187,"MMMM YYYY"))</f>
        <v/>
      </c>
      <c r="D187" s="10" t="n"/>
      <c r="E187" s="10" t="n"/>
      <c r="F187" s="10" t="n"/>
      <c r="G187" s="10" t="n"/>
      <c r="H187" s="11" t="n"/>
      <c r="I187" s="12" t="n"/>
      <c r="J187" s="13">
        <f>IF(AND(H187&lt;&gt;"",I187&lt;&gt;""),H187*I187,"")</f>
        <v/>
      </c>
      <c r="K187" s="14" t="n"/>
    </row>
    <row r="188">
      <c r="A188" s="3" t="n"/>
      <c r="B188" s="4" t="n"/>
      <c r="C188" s="4">
        <f>IF(A188="","",TEXT(A188,"MMMM YYYY"))</f>
        <v/>
      </c>
      <c r="D188" s="4" t="n"/>
      <c r="E188" s="4" t="n"/>
      <c r="F188" s="4" t="n"/>
      <c r="G188" s="4" t="n"/>
      <c r="H188" s="5" t="n"/>
      <c r="I188" s="6" t="n"/>
      <c r="J188" s="7">
        <f>IF(AND(H188&lt;&gt;"",I188&lt;&gt;""),H188*I188,"")</f>
        <v/>
      </c>
      <c r="K188" s="8" t="n"/>
    </row>
    <row r="189">
      <c r="A189" s="9" t="n"/>
      <c r="B189" s="10" t="n"/>
      <c r="C189" s="10">
        <f>IF(A189="","",TEXT(A189,"MMMM YYYY"))</f>
        <v/>
      </c>
      <c r="D189" s="10" t="n"/>
      <c r="E189" s="10" t="n"/>
      <c r="F189" s="10" t="n"/>
      <c r="G189" s="10" t="n"/>
      <c r="H189" s="11" t="n"/>
      <c r="I189" s="12" t="n"/>
      <c r="J189" s="13">
        <f>IF(AND(H189&lt;&gt;"",I189&lt;&gt;""),H189*I189,"")</f>
        <v/>
      </c>
      <c r="K189" s="14" t="n"/>
    </row>
    <row r="190">
      <c r="A190" s="3" t="n"/>
      <c r="B190" s="4" t="n"/>
      <c r="C190" s="4">
        <f>IF(A190="","",TEXT(A190,"MMMM YYYY"))</f>
        <v/>
      </c>
      <c r="D190" s="4" t="n"/>
      <c r="E190" s="4" t="n"/>
      <c r="F190" s="4" t="n"/>
      <c r="G190" s="4" t="n"/>
      <c r="H190" s="5" t="n"/>
      <c r="I190" s="6" t="n"/>
      <c r="J190" s="7">
        <f>IF(AND(H190&lt;&gt;"",I190&lt;&gt;""),H190*I190,"")</f>
        <v/>
      </c>
      <c r="K190" s="8" t="n"/>
    </row>
    <row r="191">
      <c r="A191" s="9" t="n"/>
      <c r="B191" s="10" t="n"/>
      <c r="C191" s="10">
        <f>IF(A191="","",TEXT(A191,"MMMM YYYY"))</f>
        <v/>
      </c>
      <c r="D191" s="10" t="n"/>
      <c r="E191" s="10" t="n"/>
      <c r="F191" s="10" t="n"/>
      <c r="G191" s="10" t="n"/>
      <c r="H191" s="11" t="n"/>
      <c r="I191" s="12" t="n"/>
      <c r="J191" s="13">
        <f>IF(AND(H191&lt;&gt;"",I191&lt;&gt;""),H191*I191,"")</f>
        <v/>
      </c>
      <c r="K191" s="14" t="n"/>
    </row>
    <row r="192">
      <c r="A192" s="3" t="n"/>
      <c r="B192" s="4" t="n"/>
      <c r="C192" s="4">
        <f>IF(A192="","",TEXT(A192,"MMMM YYYY"))</f>
        <v/>
      </c>
      <c r="D192" s="4" t="n"/>
      <c r="E192" s="4" t="n"/>
      <c r="F192" s="4" t="n"/>
      <c r="G192" s="4" t="n"/>
      <c r="H192" s="5" t="n"/>
      <c r="I192" s="6" t="n"/>
      <c r="J192" s="7">
        <f>IF(AND(H192&lt;&gt;"",I192&lt;&gt;""),H192*I192,"")</f>
        <v/>
      </c>
      <c r="K192" s="8" t="n"/>
    </row>
    <row r="193">
      <c r="A193" s="9" t="n"/>
      <c r="B193" s="10" t="n"/>
      <c r="C193" s="10">
        <f>IF(A193="","",TEXT(A193,"MMMM YYYY"))</f>
        <v/>
      </c>
      <c r="D193" s="10" t="n"/>
      <c r="E193" s="10" t="n"/>
      <c r="F193" s="10" t="n"/>
      <c r="G193" s="10" t="n"/>
      <c r="H193" s="11" t="n"/>
      <c r="I193" s="12" t="n"/>
      <c r="J193" s="13">
        <f>IF(AND(H193&lt;&gt;"",I193&lt;&gt;""),H193*I193,"")</f>
        <v/>
      </c>
      <c r="K193" s="14" t="n"/>
    </row>
    <row r="194">
      <c r="A194" s="3" t="n"/>
      <c r="B194" s="4" t="n"/>
      <c r="C194" s="4">
        <f>IF(A194="","",TEXT(A194,"MMMM YYYY"))</f>
        <v/>
      </c>
      <c r="D194" s="4" t="n"/>
      <c r="E194" s="4" t="n"/>
      <c r="F194" s="4" t="n"/>
      <c r="G194" s="4" t="n"/>
      <c r="H194" s="5" t="n"/>
      <c r="I194" s="6" t="n"/>
      <c r="J194" s="7">
        <f>IF(AND(H194&lt;&gt;"",I194&lt;&gt;""),H194*I194,"")</f>
        <v/>
      </c>
      <c r="K194" s="8" t="n"/>
    </row>
    <row r="195">
      <c r="A195" s="9" t="n"/>
      <c r="B195" s="10" t="n"/>
      <c r="C195" s="10">
        <f>IF(A195="","",TEXT(A195,"MMMM YYYY"))</f>
        <v/>
      </c>
      <c r="D195" s="10" t="n"/>
      <c r="E195" s="10" t="n"/>
      <c r="F195" s="10" t="n"/>
      <c r="G195" s="10" t="n"/>
      <c r="H195" s="11" t="n"/>
      <c r="I195" s="12" t="n"/>
      <c r="J195" s="13">
        <f>IF(AND(H195&lt;&gt;"",I195&lt;&gt;""),H195*I195,"")</f>
        <v/>
      </c>
      <c r="K195" s="14" t="n"/>
    </row>
    <row r="196">
      <c r="A196" s="3" t="n"/>
      <c r="B196" s="4" t="n"/>
      <c r="C196" s="4">
        <f>IF(A196="","",TEXT(A196,"MMMM YYYY"))</f>
        <v/>
      </c>
      <c r="D196" s="4" t="n"/>
      <c r="E196" s="4" t="n"/>
      <c r="F196" s="4" t="n"/>
      <c r="G196" s="4" t="n"/>
      <c r="H196" s="5" t="n"/>
      <c r="I196" s="6" t="n"/>
      <c r="J196" s="7">
        <f>IF(AND(H196&lt;&gt;"",I196&lt;&gt;""),H196*I196,"")</f>
        <v/>
      </c>
      <c r="K196" s="8" t="n"/>
    </row>
    <row r="197">
      <c r="A197" s="9" t="n"/>
      <c r="B197" s="10" t="n"/>
      <c r="C197" s="10">
        <f>IF(A197="","",TEXT(A197,"MMMM YYYY"))</f>
        <v/>
      </c>
      <c r="D197" s="10" t="n"/>
      <c r="E197" s="10" t="n"/>
      <c r="F197" s="10" t="n"/>
      <c r="G197" s="10" t="n"/>
      <c r="H197" s="11" t="n"/>
      <c r="I197" s="12" t="n"/>
      <c r="J197" s="13">
        <f>IF(AND(H197&lt;&gt;"",I197&lt;&gt;""),H197*I197,"")</f>
        <v/>
      </c>
      <c r="K197" s="14" t="n"/>
    </row>
    <row r="198">
      <c r="A198" s="3" t="n"/>
      <c r="B198" s="4" t="n"/>
      <c r="C198" s="4">
        <f>IF(A198="","",TEXT(A198,"MMMM YYYY"))</f>
        <v/>
      </c>
      <c r="D198" s="4" t="n"/>
      <c r="E198" s="4" t="n"/>
      <c r="F198" s="4" t="n"/>
      <c r="G198" s="4" t="n"/>
      <c r="H198" s="5" t="n"/>
      <c r="I198" s="6" t="n"/>
      <c r="J198" s="7">
        <f>IF(AND(H198&lt;&gt;"",I198&lt;&gt;""),H198*I198,"")</f>
        <v/>
      </c>
      <c r="K198" s="8" t="n"/>
    </row>
    <row r="199">
      <c r="A199" s="9" t="n"/>
      <c r="B199" s="10" t="n"/>
      <c r="C199" s="10">
        <f>IF(A199="","",TEXT(A199,"MMMM YYYY"))</f>
        <v/>
      </c>
      <c r="D199" s="10" t="n"/>
      <c r="E199" s="10" t="n"/>
      <c r="F199" s="10" t="n"/>
      <c r="G199" s="10" t="n"/>
      <c r="H199" s="11" t="n"/>
      <c r="I199" s="12" t="n"/>
      <c r="J199" s="13">
        <f>IF(AND(H199&lt;&gt;"",I199&lt;&gt;""),H199*I199,"")</f>
        <v/>
      </c>
      <c r="K199" s="14" t="n"/>
    </row>
    <row r="200">
      <c r="A200" s="3" t="n"/>
      <c r="B200" s="4" t="n"/>
      <c r="C200" s="4">
        <f>IF(A200="","",TEXT(A200,"MMMM YYYY"))</f>
        <v/>
      </c>
      <c r="D200" s="4" t="n"/>
      <c r="E200" s="4" t="n"/>
      <c r="F200" s="4" t="n"/>
      <c r="G200" s="4" t="n"/>
      <c r="H200" s="5" t="n"/>
      <c r="I200" s="6" t="n"/>
      <c r="J200" s="7">
        <f>IF(AND(H200&lt;&gt;"",I200&lt;&gt;""),H200*I200,"")</f>
        <v/>
      </c>
      <c r="K200" s="8" t="n"/>
    </row>
    <row r="201">
      <c r="A201" s="9" t="n"/>
      <c r="B201" s="10" t="n"/>
      <c r="C201" s="10">
        <f>IF(A201="","",TEXT(A201,"MMMM YYYY"))</f>
        <v/>
      </c>
      <c r="D201" s="10" t="n"/>
      <c r="E201" s="10" t="n"/>
      <c r="F201" s="10" t="n"/>
      <c r="G201" s="10" t="n"/>
      <c r="H201" s="11" t="n"/>
      <c r="I201" s="12" t="n"/>
      <c r="J201" s="13">
        <f>IF(AND(H201&lt;&gt;"",I201&lt;&gt;""),H201*I201,"")</f>
        <v/>
      </c>
      <c r="K201" s="14" t="n"/>
    </row>
    <row r="202">
      <c r="A202" s="3" t="n"/>
      <c r="B202" s="4" t="n"/>
      <c r="C202" s="4">
        <f>IF(A202="","",TEXT(A202,"MMMM YYYY"))</f>
        <v/>
      </c>
      <c r="D202" s="4" t="n"/>
      <c r="E202" s="4" t="n"/>
      <c r="F202" s="4" t="n"/>
      <c r="G202" s="4" t="n"/>
      <c r="H202" s="5" t="n"/>
      <c r="I202" s="6" t="n"/>
      <c r="J202" s="7">
        <f>IF(AND(H202&lt;&gt;"",I202&lt;&gt;""),H202*I202,"")</f>
        <v/>
      </c>
      <c r="K202" s="8" t="n"/>
    </row>
    <row r="203">
      <c r="A203" s="9" t="n"/>
      <c r="B203" s="10" t="n"/>
      <c r="C203" s="10">
        <f>IF(A203="","",TEXT(A203,"MMMM YYYY"))</f>
        <v/>
      </c>
      <c r="D203" s="10" t="n"/>
      <c r="E203" s="10" t="n"/>
      <c r="F203" s="10" t="n"/>
      <c r="G203" s="10" t="n"/>
      <c r="H203" s="11" t="n"/>
      <c r="I203" s="12" t="n"/>
      <c r="J203" s="13">
        <f>IF(AND(H203&lt;&gt;"",I203&lt;&gt;""),H203*I203,"")</f>
        <v/>
      </c>
      <c r="K203" s="14" t="n"/>
    </row>
    <row r="204">
      <c r="A204" s="3" t="n"/>
      <c r="B204" s="4" t="n"/>
      <c r="C204" s="4">
        <f>IF(A204="","",TEXT(A204,"MMMM YYYY"))</f>
        <v/>
      </c>
      <c r="D204" s="4" t="n"/>
      <c r="E204" s="4" t="n"/>
      <c r="F204" s="4" t="n"/>
      <c r="G204" s="4" t="n"/>
      <c r="H204" s="5" t="n"/>
      <c r="I204" s="6" t="n"/>
      <c r="J204" s="7">
        <f>IF(AND(H204&lt;&gt;"",I204&lt;&gt;""),H204*I204,"")</f>
        <v/>
      </c>
      <c r="K204" s="8" t="n"/>
    </row>
    <row r="205">
      <c r="A205" s="9" t="n"/>
      <c r="B205" s="10" t="n"/>
      <c r="C205" s="10">
        <f>IF(A205="","",TEXT(A205,"MMMM YYYY"))</f>
        <v/>
      </c>
      <c r="D205" s="10" t="n"/>
      <c r="E205" s="10" t="n"/>
      <c r="F205" s="10" t="n"/>
      <c r="G205" s="10" t="n"/>
      <c r="H205" s="11" t="n"/>
      <c r="I205" s="12" t="n"/>
      <c r="J205" s="13">
        <f>IF(AND(H205&lt;&gt;"",I205&lt;&gt;""),H205*I205,"")</f>
        <v/>
      </c>
      <c r="K205" s="14" t="n"/>
    </row>
    <row r="206">
      <c r="A206" s="3" t="n"/>
      <c r="B206" s="4" t="n"/>
      <c r="C206" s="4">
        <f>IF(A206="","",TEXT(A206,"MMMM YYYY"))</f>
        <v/>
      </c>
      <c r="D206" s="4" t="n"/>
      <c r="E206" s="4" t="n"/>
      <c r="F206" s="4" t="n"/>
      <c r="G206" s="4" t="n"/>
      <c r="H206" s="5" t="n"/>
      <c r="I206" s="6" t="n"/>
      <c r="J206" s="7">
        <f>IF(AND(H206&lt;&gt;"",I206&lt;&gt;""),H206*I206,"")</f>
        <v/>
      </c>
      <c r="K206" s="8" t="n"/>
    </row>
    <row r="207">
      <c r="A207" s="9" t="n"/>
      <c r="B207" s="10" t="n"/>
      <c r="C207" s="10">
        <f>IF(A207="","",TEXT(A207,"MMMM YYYY"))</f>
        <v/>
      </c>
      <c r="D207" s="10" t="n"/>
      <c r="E207" s="10" t="n"/>
      <c r="F207" s="10" t="n"/>
      <c r="G207" s="10" t="n"/>
      <c r="H207" s="11" t="n"/>
      <c r="I207" s="12" t="n"/>
      <c r="J207" s="13">
        <f>IF(AND(H207&lt;&gt;"",I207&lt;&gt;""),H207*I207,"")</f>
        <v/>
      </c>
      <c r="K207" s="14" t="n"/>
    </row>
    <row r="208">
      <c r="A208" s="3" t="n"/>
      <c r="B208" s="4" t="n"/>
      <c r="C208" s="4">
        <f>IF(A208="","",TEXT(A208,"MMMM YYYY"))</f>
        <v/>
      </c>
      <c r="D208" s="4" t="n"/>
      <c r="E208" s="4" t="n"/>
      <c r="F208" s="4" t="n"/>
      <c r="G208" s="4" t="n"/>
      <c r="H208" s="5" t="n"/>
      <c r="I208" s="6" t="n"/>
      <c r="J208" s="7">
        <f>IF(AND(H208&lt;&gt;"",I208&lt;&gt;""),H208*I208,"")</f>
        <v/>
      </c>
      <c r="K208" s="8" t="n"/>
    </row>
    <row r="209">
      <c r="A209" s="9" t="n"/>
      <c r="B209" s="10" t="n"/>
      <c r="C209" s="10">
        <f>IF(A209="","",TEXT(A209,"MMMM YYYY"))</f>
        <v/>
      </c>
      <c r="D209" s="10" t="n"/>
      <c r="E209" s="10" t="n"/>
      <c r="F209" s="10" t="n"/>
      <c r="G209" s="10" t="n"/>
      <c r="H209" s="11" t="n"/>
      <c r="I209" s="12" t="n"/>
      <c r="J209" s="13">
        <f>IF(AND(H209&lt;&gt;"",I209&lt;&gt;""),H209*I209,"")</f>
        <v/>
      </c>
      <c r="K209" s="14" t="n"/>
    </row>
    <row r="210">
      <c r="A210" s="3" t="n"/>
      <c r="B210" s="4" t="n"/>
      <c r="C210" s="4">
        <f>IF(A210="","",TEXT(A210,"MMMM YYYY"))</f>
        <v/>
      </c>
      <c r="D210" s="4" t="n"/>
      <c r="E210" s="4" t="n"/>
      <c r="F210" s="4" t="n"/>
      <c r="G210" s="4" t="n"/>
      <c r="H210" s="5" t="n"/>
      <c r="I210" s="6" t="n"/>
      <c r="J210" s="7">
        <f>IF(AND(H210&lt;&gt;"",I210&lt;&gt;""),H210*I210,"")</f>
        <v/>
      </c>
      <c r="K210" s="8" t="n"/>
    </row>
    <row r="211">
      <c r="A211" s="9" t="n"/>
      <c r="B211" s="10" t="n"/>
      <c r="C211" s="10">
        <f>IF(A211="","",TEXT(A211,"MMMM YYYY"))</f>
        <v/>
      </c>
      <c r="D211" s="10" t="n"/>
      <c r="E211" s="10" t="n"/>
      <c r="F211" s="10" t="n"/>
      <c r="G211" s="10" t="n"/>
      <c r="H211" s="11" t="n"/>
      <c r="I211" s="12" t="n"/>
      <c r="J211" s="13">
        <f>IF(AND(H211&lt;&gt;"",I211&lt;&gt;""),H211*I211,"")</f>
        <v/>
      </c>
      <c r="K211" s="14" t="n"/>
    </row>
    <row r="212">
      <c r="A212" s="3" t="n"/>
      <c r="B212" s="4" t="n"/>
      <c r="C212" s="4">
        <f>IF(A212="","",TEXT(A212,"MMMM YYYY"))</f>
        <v/>
      </c>
      <c r="D212" s="4" t="n"/>
      <c r="E212" s="4" t="n"/>
      <c r="F212" s="4" t="n"/>
      <c r="G212" s="4" t="n"/>
      <c r="H212" s="5" t="n"/>
      <c r="I212" s="6" t="n"/>
      <c r="J212" s="7">
        <f>IF(AND(H212&lt;&gt;"",I212&lt;&gt;""),H212*I212,"")</f>
        <v/>
      </c>
      <c r="K212" s="8" t="n"/>
    </row>
    <row r="213">
      <c r="A213" s="9" t="n"/>
      <c r="B213" s="10" t="n"/>
      <c r="C213" s="10">
        <f>IF(A213="","",TEXT(A213,"MMMM YYYY"))</f>
        <v/>
      </c>
      <c r="D213" s="10" t="n"/>
      <c r="E213" s="10" t="n"/>
      <c r="F213" s="10" t="n"/>
      <c r="G213" s="10" t="n"/>
      <c r="H213" s="11" t="n"/>
      <c r="I213" s="12" t="n"/>
      <c r="J213" s="13">
        <f>IF(AND(H213&lt;&gt;"",I213&lt;&gt;""),H213*I213,"")</f>
        <v/>
      </c>
      <c r="K213" s="14" t="n"/>
    </row>
    <row r="214">
      <c r="A214" s="3" t="n"/>
      <c r="B214" s="4" t="n"/>
      <c r="C214" s="4">
        <f>IF(A214="","",TEXT(A214,"MMMM YYYY"))</f>
        <v/>
      </c>
      <c r="D214" s="4" t="n"/>
      <c r="E214" s="4" t="n"/>
      <c r="F214" s="4" t="n"/>
      <c r="G214" s="4" t="n"/>
      <c r="H214" s="5" t="n"/>
      <c r="I214" s="6" t="n"/>
      <c r="J214" s="7">
        <f>IF(AND(H214&lt;&gt;"",I214&lt;&gt;""),H214*I214,"")</f>
        <v/>
      </c>
      <c r="K214" s="8" t="n"/>
    </row>
    <row r="215">
      <c r="A215" s="9" t="n"/>
      <c r="B215" s="10" t="n"/>
      <c r="C215" s="10">
        <f>IF(A215="","",TEXT(A215,"MMMM YYYY"))</f>
        <v/>
      </c>
      <c r="D215" s="10" t="n"/>
      <c r="E215" s="10" t="n"/>
      <c r="F215" s="10" t="n"/>
      <c r="G215" s="10" t="n"/>
      <c r="H215" s="11" t="n"/>
      <c r="I215" s="12" t="n"/>
      <c r="J215" s="13">
        <f>IF(AND(H215&lt;&gt;"",I215&lt;&gt;""),H215*I215,"")</f>
        <v/>
      </c>
      <c r="K215" s="14" t="n"/>
    </row>
    <row r="216">
      <c r="A216" s="3" t="n"/>
      <c r="B216" s="4" t="n"/>
      <c r="C216" s="4">
        <f>IF(A216="","",TEXT(A216,"MMMM YYYY"))</f>
        <v/>
      </c>
      <c r="D216" s="4" t="n"/>
      <c r="E216" s="4" t="n"/>
      <c r="F216" s="4" t="n"/>
      <c r="G216" s="4" t="n"/>
      <c r="H216" s="5" t="n"/>
      <c r="I216" s="6" t="n"/>
      <c r="J216" s="7">
        <f>IF(AND(H216&lt;&gt;"",I216&lt;&gt;""),H216*I216,"")</f>
        <v/>
      </c>
      <c r="K216" s="8" t="n"/>
    </row>
    <row r="217">
      <c r="A217" s="9" t="n"/>
      <c r="B217" s="10" t="n"/>
      <c r="C217" s="10">
        <f>IF(A217="","",TEXT(A217,"MMMM YYYY"))</f>
        <v/>
      </c>
      <c r="D217" s="10" t="n"/>
      <c r="E217" s="10" t="n"/>
      <c r="F217" s="10" t="n"/>
      <c r="G217" s="10" t="n"/>
      <c r="H217" s="11" t="n"/>
      <c r="I217" s="12" t="n"/>
      <c r="J217" s="13">
        <f>IF(AND(H217&lt;&gt;"",I217&lt;&gt;""),H217*I217,"")</f>
        <v/>
      </c>
      <c r="K217" s="14" t="n"/>
    </row>
    <row r="218">
      <c r="A218" s="3" t="n"/>
      <c r="B218" s="4" t="n"/>
      <c r="C218" s="4">
        <f>IF(A218="","",TEXT(A218,"MMMM YYYY"))</f>
        <v/>
      </c>
      <c r="D218" s="4" t="n"/>
      <c r="E218" s="4" t="n"/>
      <c r="F218" s="4" t="n"/>
      <c r="G218" s="4" t="n"/>
      <c r="H218" s="5" t="n"/>
      <c r="I218" s="6" t="n"/>
      <c r="J218" s="7">
        <f>IF(AND(H218&lt;&gt;"",I218&lt;&gt;""),H218*I218,"")</f>
        <v/>
      </c>
      <c r="K218" s="8" t="n"/>
    </row>
    <row r="219">
      <c r="A219" s="9" t="n"/>
      <c r="B219" s="10" t="n"/>
      <c r="C219" s="10">
        <f>IF(A219="","",TEXT(A219,"MMMM YYYY"))</f>
        <v/>
      </c>
      <c r="D219" s="10" t="n"/>
      <c r="E219" s="10" t="n"/>
      <c r="F219" s="10" t="n"/>
      <c r="G219" s="10" t="n"/>
      <c r="H219" s="11" t="n"/>
      <c r="I219" s="12" t="n"/>
      <c r="J219" s="13">
        <f>IF(AND(H219&lt;&gt;"",I219&lt;&gt;""),H219*I219,"")</f>
        <v/>
      </c>
      <c r="K219" s="14" t="n"/>
    </row>
    <row r="220">
      <c r="A220" s="3" t="n"/>
      <c r="B220" s="4" t="n"/>
      <c r="C220" s="4">
        <f>IF(A220="","",TEXT(A220,"MMMM YYYY"))</f>
        <v/>
      </c>
      <c r="D220" s="4" t="n"/>
      <c r="E220" s="4" t="n"/>
      <c r="F220" s="4" t="n"/>
      <c r="G220" s="4" t="n"/>
      <c r="H220" s="5" t="n"/>
      <c r="I220" s="6" t="n"/>
      <c r="J220" s="7">
        <f>IF(AND(H220&lt;&gt;"",I220&lt;&gt;""),H220*I220,"")</f>
        <v/>
      </c>
      <c r="K220" s="8" t="n"/>
    </row>
    <row r="221">
      <c r="A221" s="9" t="n"/>
      <c r="B221" s="10" t="n"/>
      <c r="C221" s="10">
        <f>IF(A221="","",TEXT(A221,"MMMM YYYY"))</f>
        <v/>
      </c>
      <c r="D221" s="10" t="n"/>
      <c r="E221" s="10" t="n"/>
      <c r="F221" s="10" t="n"/>
      <c r="G221" s="10" t="n"/>
      <c r="H221" s="11" t="n"/>
      <c r="I221" s="12" t="n"/>
      <c r="J221" s="13">
        <f>IF(AND(H221&lt;&gt;"",I221&lt;&gt;""),H221*I221,"")</f>
        <v/>
      </c>
      <c r="K221" s="14" t="n"/>
    </row>
    <row r="222">
      <c r="A222" s="3" t="n"/>
      <c r="B222" s="4" t="n"/>
      <c r="C222" s="4">
        <f>IF(A222="","",TEXT(A222,"MMMM YYYY"))</f>
        <v/>
      </c>
      <c r="D222" s="4" t="n"/>
      <c r="E222" s="4" t="n"/>
      <c r="F222" s="4" t="n"/>
      <c r="G222" s="4" t="n"/>
      <c r="H222" s="5" t="n"/>
      <c r="I222" s="6" t="n"/>
      <c r="J222" s="7">
        <f>IF(AND(H222&lt;&gt;"",I222&lt;&gt;""),H222*I222,"")</f>
        <v/>
      </c>
      <c r="K222" s="8" t="n"/>
    </row>
    <row r="223">
      <c r="A223" s="9" t="n"/>
      <c r="B223" s="10" t="n"/>
      <c r="C223" s="10">
        <f>IF(A223="","",TEXT(A223,"MMMM YYYY"))</f>
        <v/>
      </c>
      <c r="D223" s="10" t="n"/>
      <c r="E223" s="10" t="n"/>
      <c r="F223" s="10" t="n"/>
      <c r="G223" s="10" t="n"/>
      <c r="H223" s="11" t="n"/>
      <c r="I223" s="12" t="n"/>
      <c r="J223" s="13">
        <f>IF(AND(H223&lt;&gt;"",I223&lt;&gt;""),H223*I223,"")</f>
        <v/>
      </c>
      <c r="K223" s="14" t="n"/>
    </row>
  </sheetData>
  <autoFilter ref="A3:K224"/>
  <mergeCells count="1">
    <mergeCell ref="A1:K1"/>
  </mergeCells>
  <dataValidations count="3">
    <dataValidation sqref="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showDropDown="0" showInputMessage="0" showErrorMessage="0" allowBlank="1" type="list">
      <formula1>"TRAFIC 1,TRAFIC 2,SPRINTER 1"</formula1>
    </dataValidation>
    <dataValidation sqref="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showDropDown="0" showInputMessage="0" showErrorMessage="0" allowBlank="1" type="list">
      <formula1>"Gasoil,Adblue,Sans Plomb 95,Sans Plomb 98,E85"</formula1>
    </dataValidation>
    <dataValidation sqref="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showDropDown="0" showInputMessage="0" showErrorMessage="0" allowBlank="1" type="list">
      <formula1>"1ère quinzaine,2ème quinzaine"</formula1>
    </dataValidation>
  </dataValidations>
  <pageMargins left="0.75" right="0.75" top="1" bottom="1" header="0.5" footer="0.5"/>
</worksheet>
</file>

<file path=xl/worksheets/sheet2.xml><?xml version="1.0" encoding="utf-8"?>
<worksheet xmlns="http://schemas.openxmlformats.org/spreadsheetml/2006/main">
  <sheetPr>
    <tabColor rgb="00ED7D31"/>
    <outlinePr summaryBelow="1" summaryRight="1"/>
    <pageSetUpPr/>
  </sheetPr>
  <dimension ref="A1:H18"/>
  <sheetViews>
    <sheetView workbookViewId="0">
      <pane ySplit="5" topLeftCell="A6" activePane="bottomLeft" state="frozen"/>
      <selection pane="bottomLeft" activeCell="A1" sqref="A1"/>
    </sheetView>
  </sheetViews>
  <sheetFormatPr baseColWidth="8" defaultRowHeight="15"/>
  <cols>
    <col width="16" customWidth="1" min="1" max="1"/>
    <col width="12" customWidth="1" min="2" max="2"/>
    <col width="16" customWidth="1" min="3" max="3"/>
    <col width="16" customWidth="1" min="4" max="4"/>
    <col width="18" customWidth="1" min="5" max="5"/>
    <col width="18" customWidth="1" min="6" max="6"/>
    <col width="18" customWidth="1" min="7" max="7"/>
    <col width="20" customWidth="1" min="8" max="8"/>
  </cols>
  <sheetData>
    <row r="1" ht="40" customHeight="1">
      <c r="A1" s="15" t="inlineStr">
        <is>
          <t>RÉCAPITULATIF MENSUEL — AMB TRANSPORTS 69</t>
        </is>
      </c>
    </row>
    <row r="3">
      <c r="A3" s="16" t="inlineStr">
        <is>
          <t>Année :</t>
        </is>
      </c>
      <c r="B3" s="17" t="n">
        <v>2026</v>
      </c>
    </row>
    <row r="5">
      <c r="A5" s="18" t="inlineStr">
        <is>
          <t>Mois</t>
        </is>
      </c>
      <c r="B5" s="18" t="inlineStr">
        <is>
          <t>Nb Pleins</t>
        </is>
      </c>
      <c r="C5" s="18" t="inlineStr">
        <is>
          <t>Litres Gasoil</t>
        </is>
      </c>
      <c r="D5" s="18" t="inlineStr">
        <is>
          <t>Litres Adblue</t>
        </is>
      </c>
      <c r="E5" s="18" t="inlineStr">
        <is>
          <t>Dépense Gasoil (€)</t>
        </is>
      </c>
      <c r="F5" s="18" t="inlineStr">
        <is>
          <t>Dépense Adblue (€)</t>
        </is>
      </c>
      <c r="G5" s="18" t="inlineStr">
        <is>
          <t>Dépense Totale (€)</t>
        </is>
      </c>
      <c r="H5" s="18" t="inlineStr">
        <is>
          <t>Prix Moyen Gasoil/L</t>
        </is>
      </c>
    </row>
    <row r="6">
      <c r="A6" s="19" t="inlineStr">
        <is>
          <t>Janvier</t>
        </is>
      </c>
      <c r="B6" s="20">
        <f>COUNTIFS('Saisie Factures'!A4:A224,"&gt;="&amp;DATE(B$3,1,1),'Saisie Factures'!A4:A224,"&lt;"&amp;DATE(B$3,1+1,1),'Saisie Factures'!G4:G224,"Gasoil")</f>
        <v/>
      </c>
      <c r="C6" s="21">
        <f>SUMPRODUCT((MONTH('Saisie Factures'!A4:A224)=1)*(YEAR('Saisie Factures'!A4:A224)=B$3)*('Saisie Factures'!G4:G224="Gasoil")*('Saisie Factures'!H4:H224))</f>
        <v/>
      </c>
      <c r="D6" s="21">
        <f>SUMPRODUCT((MONTH('Saisie Factures'!A4:A224)=1)*(YEAR('Saisie Factures'!A4:A224)=B$3)*('Saisie Factures'!G4:G224="Adblue")*('Saisie Factures'!H4:H224))</f>
        <v/>
      </c>
      <c r="E6" s="22">
        <f>SUMPRODUCT((MONTH('Saisie Factures'!A4:A224)=1)*(YEAR('Saisie Factures'!A4:A224)=B$3)*('Saisie Factures'!G4:G224="Gasoil")*('Saisie Factures'!J4:J224))</f>
        <v/>
      </c>
      <c r="F6" s="22">
        <f>SUMPRODUCT((MONTH('Saisie Factures'!A4:A224)=1)*(YEAR('Saisie Factures'!A4:A224)=B$3)*('Saisie Factures'!G4:G224="Adblue")*('Saisie Factures'!J4:J224))</f>
        <v/>
      </c>
      <c r="G6" s="22">
        <f>E6+F6</f>
        <v/>
      </c>
      <c r="H6" s="23">
        <f>IF(C6=0,"",E6/C6)</f>
        <v/>
      </c>
    </row>
    <row r="7">
      <c r="A7" s="24" t="inlineStr">
        <is>
          <t>Février</t>
        </is>
      </c>
      <c r="B7" s="25">
        <f>COUNTIFS('Saisie Factures'!A4:A224,"&gt;="&amp;DATE(B$3,2,1),'Saisie Factures'!A4:A224,"&lt;"&amp;DATE(B$3,2+1,1),'Saisie Factures'!G4:G224,"Gasoil")</f>
        <v/>
      </c>
      <c r="C7" s="26">
        <f>SUMPRODUCT((MONTH('Saisie Factures'!A4:A224)=2)*(YEAR('Saisie Factures'!A4:A224)=B$3)*('Saisie Factures'!G4:G224="Gasoil")*('Saisie Factures'!H4:H224))</f>
        <v/>
      </c>
      <c r="D7" s="26">
        <f>SUMPRODUCT((MONTH('Saisie Factures'!A4:A224)=2)*(YEAR('Saisie Factures'!A4:A224)=B$3)*('Saisie Factures'!G4:G224="Adblue")*('Saisie Factures'!H4:H224))</f>
        <v/>
      </c>
      <c r="E7" s="27">
        <f>SUMPRODUCT((MONTH('Saisie Factures'!A4:A224)=2)*(YEAR('Saisie Factures'!A4:A224)=B$3)*('Saisie Factures'!G4:G224="Gasoil")*('Saisie Factures'!J4:J224))</f>
        <v/>
      </c>
      <c r="F7" s="27">
        <f>SUMPRODUCT((MONTH('Saisie Factures'!A4:A224)=2)*(YEAR('Saisie Factures'!A4:A224)=B$3)*('Saisie Factures'!G4:G224="Adblue")*('Saisie Factures'!J4:J224))</f>
        <v/>
      </c>
      <c r="G7" s="27">
        <f>E7+F7</f>
        <v/>
      </c>
      <c r="H7" s="28">
        <f>IF(C7=0,"",E7/C7)</f>
        <v/>
      </c>
    </row>
    <row r="8">
      <c r="A8" s="19" t="inlineStr">
        <is>
          <t>Mars</t>
        </is>
      </c>
      <c r="B8" s="20">
        <f>COUNTIFS('Saisie Factures'!A4:A224,"&gt;="&amp;DATE(B$3,3,1),'Saisie Factures'!A4:A224,"&lt;"&amp;DATE(B$3,3+1,1),'Saisie Factures'!G4:G224,"Gasoil")</f>
        <v/>
      </c>
      <c r="C8" s="21">
        <f>SUMPRODUCT((MONTH('Saisie Factures'!A4:A224)=3)*(YEAR('Saisie Factures'!A4:A224)=B$3)*('Saisie Factures'!G4:G224="Gasoil")*('Saisie Factures'!H4:H224))</f>
        <v/>
      </c>
      <c r="D8" s="21">
        <f>SUMPRODUCT((MONTH('Saisie Factures'!A4:A224)=3)*(YEAR('Saisie Factures'!A4:A224)=B$3)*('Saisie Factures'!G4:G224="Adblue")*('Saisie Factures'!H4:H224))</f>
        <v/>
      </c>
      <c r="E8" s="22">
        <f>SUMPRODUCT((MONTH('Saisie Factures'!A4:A224)=3)*(YEAR('Saisie Factures'!A4:A224)=B$3)*('Saisie Factures'!G4:G224="Gasoil")*('Saisie Factures'!J4:J224))</f>
        <v/>
      </c>
      <c r="F8" s="22">
        <f>SUMPRODUCT((MONTH('Saisie Factures'!A4:A224)=3)*(YEAR('Saisie Factures'!A4:A224)=B$3)*('Saisie Factures'!G4:G224="Adblue")*('Saisie Factures'!J4:J224))</f>
        <v/>
      </c>
      <c r="G8" s="22">
        <f>E8+F8</f>
        <v/>
      </c>
      <c r="H8" s="23">
        <f>IF(C8=0,"",E8/C8)</f>
        <v/>
      </c>
    </row>
    <row r="9">
      <c r="A9" s="24" t="inlineStr">
        <is>
          <t>Avril</t>
        </is>
      </c>
      <c r="B9" s="25">
        <f>COUNTIFS('Saisie Factures'!A4:A224,"&gt;="&amp;DATE(B$3,4,1),'Saisie Factures'!A4:A224,"&lt;"&amp;DATE(B$3,4+1,1),'Saisie Factures'!G4:G224,"Gasoil")</f>
        <v/>
      </c>
      <c r="C9" s="26">
        <f>SUMPRODUCT((MONTH('Saisie Factures'!A4:A224)=4)*(YEAR('Saisie Factures'!A4:A224)=B$3)*('Saisie Factures'!G4:G224="Gasoil")*('Saisie Factures'!H4:H224))</f>
        <v/>
      </c>
      <c r="D9" s="26">
        <f>SUMPRODUCT((MONTH('Saisie Factures'!A4:A224)=4)*(YEAR('Saisie Factures'!A4:A224)=B$3)*('Saisie Factures'!G4:G224="Adblue")*('Saisie Factures'!H4:H224))</f>
        <v/>
      </c>
      <c r="E9" s="27">
        <f>SUMPRODUCT((MONTH('Saisie Factures'!A4:A224)=4)*(YEAR('Saisie Factures'!A4:A224)=B$3)*('Saisie Factures'!G4:G224="Gasoil")*('Saisie Factures'!J4:J224))</f>
        <v/>
      </c>
      <c r="F9" s="27">
        <f>SUMPRODUCT((MONTH('Saisie Factures'!A4:A224)=4)*(YEAR('Saisie Factures'!A4:A224)=B$3)*('Saisie Factures'!G4:G224="Adblue")*('Saisie Factures'!J4:J224))</f>
        <v/>
      </c>
      <c r="G9" s="27">
        <f>E9+F9</f>
        <v/>
      </c>
      <c r="H9" s="28">
        <f>IF(C9=0,"",E9/C9)</f>
        <v/>
      </c>
    </row>
    <row r="10">
      <c r="A10" s="19" t="inlineStr">
        <is>
          <t>Mai</t>
        </is>
      </c>
      <c r="B10" s="20">
        <f>COUNTIFS('Saisie Factures'!A4:A224,"&gt;="&amp;DATE(B$3,5,1),'Saisie Factures'!A4:A224,"&lt;"&amp;DATE(B$3,5+1,1),'Saisie Factures'!G4:G224,"Gasoil")</f>
        <v/>
      </c>
      <c r="C10" s="21">
        <f>SUMPRODUCT((MONTH('Saisie Factures'!A4:A224)=5)*(YEAR('Saisie Factures'!A4:A224)=B$3)*('Saisie Factures'!G4:G224="Gasoil")*('Saisie Factures'!H4:H224))</f>
        <v/>
      </c>
      <c r="D10" s="21">
        <f>SUMPRODUCT((MONTH('Saisie Factures'!A4:A224)=5)*(YEAR('Saisie Factures'!A4:A224)=B$3)*('Saisie Factures'!G4:G224="Adblue")*('Saisie Factures'!H4:H224))</f>
        <v/>
      </c>
      <c r="E10" s="22">
        <f>SUMPRODUCT((MONTH('Saisie Factures'!A4:A224)=5)*(YEAR('Saisie Factures'!A4:A224)=B$3)*('Saisie Factures'!G4:G224="Gasoil")*('Saisie Factures'!J4:J224))</f>
        <v/>
      </c>
      <c r="F10" s="22">
        <f>SUMPRODUCT((MONTH('Saisie Factures'!A4:A224)=5)*(YEAR('Saisie Factures'!A4:A224)=B$3)*('Saisie Factures'!G4:G224="Adblue")*('Saisie Factures'!J4:J224))</f>
        <v/>
      </c>
      <c r="G10" s="22">
        <f>E10+F10</f>
        <v/>
      </c>
      <c r="H10" s="23">
        <f>IF(C10=0,"",E10/C10)</f>
        <v/>
      </c>
    </row>
    <row r="11">
      <c r="A11" s="24" t="inlineStr">
        <is>
          <t>Juin</t>
        </is>
      </c>
      <c r="B11" s="25">
        <f>COUNTIFS('Saisie Factures'!A4:A224,"&gt;="&amp;DATE(B$3,6,1),'Saisie Factures'!A4:A224,"&lt;"&amp;DATE(B$3,6+1,1),'Saisie Factures'!G4:G224,"Gasoil")</f>
        <v/>
      </c>
      <c r="C11" s="26">
        <f>SUMPRODUCT((MONTH('Saisie Factures'!A4:A224)=6)*(YEAR('Saisie Factures'!A4:A224)=B$3)*('Saisie Factures'!G4:G224="Gasoil")*('Saisie Factures'!H4:H224))</f>
        <v/>
      </c>
      <c r="D11" s="26">
        <f>SUMPRODUCT((MONTH('Saisie Factures'!A4:A224)=6)*(YEAR('Saisie Factures'!A4:A224)=B$3)*('Saisie Factures'!G4:G224="Adblue")*('Saisie Factures'!H4:H224))</f>
        <v/>
      </c>
      <c r="E11" s="27">
        <f>SUMPRODUCT((MONTH('Saisie Factures'!A4:A224)=6)*(YEAR('Saisie Factures'!A4:A224)=B$3)*('Saisie Factures'!G4:G224="Gasoil")*('Saisie Factures'!J4:J224))</f>
        <v/>
      </c>
      <c r="F11" s="27">
        <f>SUMPRODUCT((MONTH('Saisie Factures'!A4:A224)=6)*(YEAR('Saisie Factures'!A4:A224)=B$3)*('Saisie Factures'!G4:G224="Adblue")*('Saisie Factures'!J4:J224))</f>
        <v/>
      </c>
      <c r="G11" s="27">
        <f>E11+F11</f>
        <v/>
      </c>
      <c r="H11" s="28">
        <f>IF(C11=0,"",E11/C11)</f>
        <v/>
      </c>
    </row>
    <row r="12">
      <c r="A12" s="19" t="inlineStr">
        <is>
          <t>Juillet</t>
        </is>
      </c>
      <c r="B12" s="20">
        <f>COUNTIFS('Saisie Factures'!A4:A224,"&gt;="&amp;DATE(B$3,7,1),'Saisie Factures'!A4:A224,"&lt;"&amp;DATE(B$3,7+1,1),'Saisie Factures'!G4:G224,"Gasoil")</f>
        <v/>
      </c>
      <c r="C12" s="21">
        <f>SUMPRODUCT((MONTH('Saisie Factures'!A4:A224)=7)*(YEAR('Saisie Factures'!A4:A224)=B$3)*('Saisie Factures'!G4:G224="Gasoil")*('Saisie Factures'!H4:H224))</f>
        <v/>
      </c>
      <c r="D12" s="21">
        <f>SUMPRODUCT((MONTH('Saisie Factures'!A4:A224)=7)*(YEAR('Saisie Factures'!A4:A224)=B$3)*('Saisie Factures'!G4:G224="Adblue")*('Saisie Factures'!H4:H224))</f>
        <v/>
      </c>
      <c r="E12" s="22">
        <f>SUMPRODUCT((MONTH('Saisie Factures'!A4:A224)=7)*(YEAR('Saisie Factures'!A4:A224)=B$3)*('Saisie Factures'!G4:G224="Gasoil")*('Saisie Factures'!J4:J224))</f>
        <v/>
      </c>
      <c r="F12" s="22">
        <f>SUMPRODUCT((MONTH('Saisie Factures'!A4:A224)=7)*(YEAR('Saisie Factures'!A4:A224)=B$3)*('Saisie Factures'!G4:G224="Adblue")*('Saisie Factures'!J4:J224))</f>
        <v/>
      </c>
      <c r="G12" s="22">
        <f>E12+F12</f>
        <v/>
      </c>
      <c r="H12" s="23">
        <f>IF(C12=0,"",E12/C12)</f>
        <v/>
      </c>
    </row>
    <row r="13">
      <c r="A13" s="24" t="inlineStr">
        <is>
          <t>Août</t>
        </is>
      </c>
      <c r="B13" s="25">
        <f>COUNTIFS('Saisie Factures'!A4:A224,"&gt;="&amp;DATE(B$3,8,1),'Saisie Factures'!A4:A224,"&lt;"&amp;DATE(B$3,8+1,1),'Saisie Factures'!G4:G224,"Gasoil")</f>
        <v/>
      </c>
      <c r="C13" s="26">
        <f>SUMPRODUCT((MONTH('Saisie Factures'!A4:A224)=8)*(YEAR('Saisie Factures'!A4:A224)=B$3)*('Saisie Factures'!G4:G224="Gasoil")*('Saisie Factures'!H4:H224))</f>
        <v/>
      </c>
      <c r="D13" s="26">
        <f>SUMPRODUCT((MONTH('Saisie Factures'!A4:A224)=8)*(YEAR('Saisie Factures'!A4:A224)=B$3)*('Saisie Factures'!G4:G224="Adblue")*('Saisie Factures'!H4:H224))</f>
        <v/>
      </c>
      <c r="E13" s="27">
        <f>SUMPRODUCT((MONTH('Saisie Factures'!A4:A224)=8)*(YEAR('Saisie Factures'!A4:A224)=B$3)*('Saisie Factures'!G4:G224="Gasoil")*('Saisie Factures'!J4:J224))</f>
        <v/>
      </c>
      <c r="F13" s="27">
        <f>SUMPRODUCT((MONTH('Saisie Factures'!A4:A224)=8)*(YEAR('Saisie Factures'!A4:A224)=B$3)*('Saisie Factures'!G4:G224="Adblue")*('Saisie Factures'!J4:J224))</f>
        <v/>
      </c>
      <c r="G13" s="27">
        <f>E13+F13</f>
        <v/>
      </c>
      <c r="H13" s="28">
        <f>IF(C13=0,"",E13/C13)</f>
        <v/>
      </c>
    </row>
    <row r="14">
      <c r="A14" s="19" t="inlineStr">
        <is>
          <t>Septembre</t>
        </is>
      </c>
      <c r="B14" s="20">
        <f>COUNTIFS('Saisie Factures'!A4:A224,"&gt;="&amp;DATE(B$3,9,1),'Saisie Factures'!A4:A224,"&lt;"&amp;DATE(B$3,9+1,1),'Saisie Factures'!G4:G224,"Gasoil")</f>
        <v/>
      </c>
      <c r="C14" s="21">
        <f>SUMPRODUCT((MONTH('Saisie Factures'!A4:A224)=9)*(YEAR('Saisie Factures'!A4:A224)=B$3)*('Saisie Factures'!G4:G224="Gasoil")*('Saisie Factures'!H4:H224))</f>
        <v/>
      </c>
      <c r="D14" s="21">
        <f>SUMPRODUCT((MONTH('Saisie Factures'!A4:A224)=9)*(YEAR('Saisie Factures'!A4:A224)=B$3)*('Saisie Factures'!G4:G224="Adblue")*('Saisie Factures'!H4:H224))</f>
        <v/>
      </c>
      <c r="E14" s="22">
        <f>SUMPRODUCT((MONTH('Saisie Factures'!A4:A224)=9)*(YEAR('Saisie Factures'!A4:A224)=B$3)*('Saisie Factures'!G4:G224="Gasoil")*('Saisie Factures'!J4:J224))</f>
        <v/>
      </c>
      <c r="F14" s="22">
        <f>SUMPRODUCT((MONTH('Saisie Factures'!A4:A224)=9)*(YEAR('Saisie Factures'!A4:A224)=B$3)*('Saisie Factures'!G4:G224="Adblue")*('Saisie Factures'!J4:J224))</f>
        <v/>
      </c>
      <c r="G14" s="22">
        <f>E14+F14</f>
        <v/>
      </c>
      <c r="H14" s="23">
        <f>IF(C14=0,"",E14/C14)</f>
        <v/>
      </c>
    </row>
    <row r="15">
      <c r="A15" s="24" t="inlineStr">
        <is>
          <t>Octobre</t>
        </is>
      </c>
      <c r="B15" s="25">
        <f>COUNTIFS('Saisie Factures'!A4:A224,"&gt;="&amp;DATE(B$3,10,1),'Saisie Factures'!A4:A224,"&lt;"&amp;DATE(B$3,10+1,1),'Saisie Factures'!G4:G224,"Gasoil")</f>
        <v/>
      </c>
      <c r="C15" s="26">
        <f>SUMPRODUCT((MONTH('Saisie Factures'!A4:A224)=10)*(YEAR('Saisie Factures'!A4:A224)=B$3)*('Saisie Factures'!G4:G224="Gasoil")*('Saisie Factures'!H4:H224))</f>
        <v/>
      </c>
      <c r="D15" s="26">
        <f>SUMPRODUCT((MONTH('Saisie Factures'!A4:A224)=10)*(YEAR('Saisie Factures'!A4:A224)=B$3)*('Saisie Factures'!G4:G224="Adblue")*('Saisie Factures'!H4:H224))</f>
        <v/>
      </c>
      <c r="E15" s="27">
        <f>SUMPRODUCT((MONTH('Saisie Factures'!A4:A224)=10)*(YEAR('Saisie Factures'!A4:A224)=B$3)*('Saisie Factures'!G4:G224="Gasoil")*('Saisie Factures'!J4:J224))</f>
        <v/>
      </c>
      <c r="F15" s="27">
        <f>SUMPRODUCT((MONTH('Saisie Factures'!A4:A224)=10)*(YEAR('Saisie Factures'!A4:A224)=B$3)*('Saisie Factures'!G4:G224="Adblue")*('Saisie Factures'!J4:J224))</f>
        <v/>
      </c>
      <c r="G15" s="27">
        <f>E15+F15</f>
        <v/>
      </c>
      <c r="H15" s="28">
        <f>IF(C15=0,"",E15/C15)</f>
        <v/>
      </c>
    </row>
    <row r="16">
      <c r="A16" s="19" t="inlineStr">
        <is>
          <t>Novembre</t>
        </is>
      </c>
      <c r="B16" s="20">
        <f>COUNTIFS('Saisie Factures'!A4:A224,"&gt;="&amp;DATE(B$3,11,1),'Saisie Factures'!A4:A224,"&lt;"&amp;DATE(B$3,11+1,1),'Saisie Factures'!G4:G224,"Gasoil")</f>
        <v/>
      </c>
      <c r="C16" s="21">
        <f>SUMPRODUCT((MONTH('Saisie Factures'!A4:A224)=11)*(YEAR('Saisie Factures'!A4:A224)=B$3)*('Saisie Factures'!G4:G224="Gasoil")*('Saisie Factures'!H4:H224))</f>
        <v/>
      </c>
      <c r="D16" s="21">
        <f>SUMPRODUCT((MONTH('Saisie Factures'!A4:A224)=11)*(YEAR('Saisie Factures'!A4:A224)=B$3)*('Saisie Factures'!G4:G224="Adblue")*('Saisie Factures'!H4:H224))</f>
        <v/>
      </c>
      <c r="E16" s="22">
        <f>SUMPRODUCT((MONTH('Saisie Factures'!A4:A224)=11)*(YEAR('Saisie Factures'!A4:A224)=B$3)*('Saisie Factures'!G4:G224="Gasoil")*('Saisie Factures'!J4:J224))</f>
        <v/>
      </c>
      <c r="F16" s="22">
        <f>SUMPRODUCT((MONTH('Saisie Factures'!A4:A224)=11)*(YEAR('Saisie Factures'!A4:A224)=B$3)*('Saisie Factures'!G4:G224="Adblue")*('Saisie Factures'!J4:J224))</f>
        <v/>
      </c>
      <c r="G16" s="22">
        <f>E16+F16</f>
        <v/>
      </c>
      <c r="H16" s="23">
        <f>IF(C16=0,"",E16/C16)</f>
        <v/>
      </c>
    </row>
    <row r="17">
      <c r="A17" s="24" t="inlineStr">
        <is>
          <t>Décembre</t>
        </is>
      </c>
      <c r="B17" s="25">
        <f>COUNTIFS('Saisie Factures'!A4:A224,"&gt;="&amp;DATE(B$3,12,1),'Saisie Factures'!A4:A224,"&lt;"&amp;DATE(B$3,12+1,1),'Saisie Factures'!G4:G224,"Gasoil")</f>
        <v/>
      </c>
      <c r="C17" s="26">
        <f>SUMPRODUCT((MONTH('Saisie Factures'!A4:A224)=12)*(YEAR('Saisie Factures'!A4:A224)=B$3)*('Saisie Factures'!G4:G224="Gasoil")*('Saisie Factures'!H4:H224))</f>
        <v/>
      </c>
      <c r="D17" s="26">
        <f>SUMPRODUCT((MONTH('Saisie Factures'!A4:A224)=12)*(YEAR('Saisie Factures'!A4:A224)=B$3)*('Saisie Factures'!G4:G224="Adblue")*('Saisie Factures'!H4:H224))</f>
        <v/>
      </c>
      <c r="E17" s="27">
        <f>SUMPRODUCT((MONTH('Saisie Factures'!A4:A224)=12)*(YEAR('Saisie Factures'!A4:A224)=B$3)*('Saisie Factures'!G4:G224="Gasoil")*('Saisie Factures'!J4:J224))</f>
        <v/>
      </c>
      <c r="F17" s="27">
        <f>SUMPRODUCT((MONTH('Saisie Factures'!A4:A224)=12)*(YEAR('Saisie Factures'!A4:A224)=B$3)*('Saisie Factures'!G4:G224="Adblue")*('Saisie Factures'!J4:J224))</f>
        <v/>
      </c>
      <c r="G17" s="27">
        <f>E17+F17</f>
        <v/>
      </c>
      <c r="H17" s="28">
        <f>IF(C17=0,"",E17/C17)</f>
        <v/>
      </c>
    </row>
    <row r="18">
      <c r="A18" s="18" t="inlineStr">
        <is>
          <t>TOTAL ANNUEL</t>
        </is>
      </c>
      <c r="B18" s="18">
        <f>SUM(B6:B17)</f>
        <v/>
      </c>
      <c r="C18" s="29">
        <f>SUM(C6:C17)</f>
        <v/>
      </c>
      <c r="D18" s="29">
        <f>SUM(D6:D17)</f>
        <v/>
      </c>
      <c r="E18" s="30">
        <f>SUM(E6:E17)</f>
        <v/>
      </c>
      <c r="F18" s="30">
        <f>SUM(F6:F17)</f>
        <v/>
      </c>
      <c r="G18" s="30">
        <f>SUM(G6:G17)</f>
        <v/>
      </c>
      <c r="H18" s="31">
        <f>IF(C18=0,"",E18/C18)</f>
        <v/>
      </c>
    </row>
  </sheetData>
  <mergeCells count="1">
    <mergeCell ref="A1:H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548235"/>
    <outlinePr summaryBelow="1" summaryRight="1"/>
    <pageSetUpPr/>
  </sheetPr>
  <dimension ref="A1:G41"/>
  <sheetViews>
    <sheetView workbookViewId="0">
      <pane ySplit="5" topLeftCell="A6" activePane="bottomLeft" state="frozen"/>
      <selection pane="bottomLeft" activeCell="A1" sqref="A1"/>
    </sheetView>
  </sheetViews>
  <sheetFormatPr baseColWidth="8" defaultRowHeight="15"/>
  <cols>
    <col width="16" customWidth="1" min="1" max="1"/>
    <col width="18" customWidth="1" min="2" max="2"/>
    <col width="12" customWidth="1" min="3" max="3"/>
    <col width="16" customWidth="1" min="4" max="4"/>
    <col width="18" customWidth="1" min="5" max="5"/>
    <col width="16" customWidth="1" min="6" max="6"/>
    <col width="18" customWidth="1" min="7" max="7"/>
  </cols>
  <sheetData>
    <row r="1" ht="40" customHeight="1">
      <c r="A1" s="32" t="inlineStr">
        <is>
          <t>RÉCAPITULATIF PAR VÉHICULE — AMB TRANSPORTS 69</t>
        </is>
      </c>
    </row>
    <row r="3">
      <c r="A3" s="16" t="inlineStr">
        <is>
          <t>Année :</t>
        </is>
      </c>
      <c r="B3" t="n">
        <v>2026</v>
      </c>
    </row>
    <row r="5">
      <c r="A5" s="33" t="inlineStr">
        <is>
          <t>Mois</t>
        </is>
      </c>
      <c r="B5" s="33" t="inlineStr">
        <is>
          <t>Véhicule</t>
        </is>
      </c>
      <c r="C5" s="33" t="inlineStr">
        <is>
          <t>Nb Pleins</t>
        </is>
      </c>
      <c r="D5" s="33" t="inlineStr">
        <is>
          <t>Litres Gasoil</t>
        </is>
      </c>
      <c r="E5" s="33" t="inlineStr">
        <is>
          <t>Dépense Gasoil (€)</t>
        </is>
      </c>
      <c r="F5" s="33" t="inlineStr">
        <is>
          <t>Litres Adblue</t>
        </is>
      </c>
      <c r="G5" s="33" t="inlineStr">
        <is>
          <t>Dépense Adblue (€)</t>
        </is>
      </c>
    </row>
    <row r="6">
      <c r="A6" s="34" t="inlineStr">
        <is>
          <t>Janvier</t>
        </is>
      </c>
      <c r="B6" s="35" t="inlineStr">
        <is>
          <t>TRAFIC 1</t>
        </is>
      </c>
      <c r="C6" s="35">
        <f>COUNTIFS('Saisie Factures'!A4:A224,"&gt;="&amp;DATE(B$3,1,1),'Saisie Factures'!A4:A224,"&lt;"&amp;DATE(B$3,1+1,1),'Saisie Factures'!D4:D224,"TRAFIC 1",'Saisie Factures'!G4:G224,"Gasoil")</f>
        <v/>
      </c>
      <c r="D6" s="36">
        <f>SUMPRODUCT((MONTH('Saisie Factures'!A4:A224)=1)*(YEAR('Saisie Factures'!A4:A224)=B$3)*('Saisie Factures'!D4:D224="TRAFIC 1")*('Saisie Factures'!G4:G224="Gasoil")*('Saisie Factures'!H4:H224))</f>
        <v/>
      </c>
      <c r="E6" s="37">
        <f>SUMPRODUCT((MONTH('Saisie Factures'!A4:A224)=1)*(YEAR('Saisie Factures'!A4:A224)=B$3)*('Saisie Factures'!D4:D224="TRAFIC 1")*('Saisie Factures'!G4:G224="Gasoil")*('Saisie Factures'!J4:J224))</f>
        <v/>
      </c>
      <c r="F6" s="36">
        <f>SUMPRODUCT((MONTH('Saisie Factures'!A4:A224)=1)*(YEAR('Saisie Factures'!A4:A224)=B$3)*('Saisie Factures'!D4:D224="TRAFIC 1")*('Saisie Factures'!G4:G224="Adblue")*('Saisie Factures'!H4:H224))</f>
        <v/>
      </c>
      <c r="G6" s="37">
        <f>SUMPRODUCT((MONTH('Saisie Factures'!A4:A224)=1)*(YEAR('Saisie Factures'!A4:A224)=B$3)*('Saisie Factures'!D4:D224="TRAFIC 1")*('Saisie Factures'!G4:G224="Adblue")*('Saisie Factures'!J4:J224))</f>
        <v/>
      </c>
    </row>
    <row r="7">
      <c r="A7" s="24" t="inlineStr">
        <is>
          <t>Janvier</t>
        </is>
      </c>
      <c r="B7" s="25" t="inlineStr">
        <is>
          <t>TRAFIC 2</t>
        </is>
      </c>
      <c r="C7" s="25">
        <f>COUNTIFS('Saisie Factures'!A4:A224,"&gt;="&amp;DATE(B$3,1,1),'Saisie Factures'!A4:A224,"&lt;"&amp;DATE(B$3,1+1,1),'Saisie Factures'!D4:D224,"TRAFIC 2",'Saisie Factures'!G4:G224,"Gasoil")</f>
        <v/>
      </c>
      <c r="D7" s="26">
        <f>SUMPRODUCT((MONTH('Saisie Factures'!A4:A224)=1)*(YEAR('Saisie Factures'!A4:A224)=B$3)*('Saisie Factures'!D4:D224="TRAFIC 2")*('Saisie Factures'!G4:G224="Gasoil")*('Saisie Factures'!H4:H224))</f>
        <v/>
      </c>
      <c r="E7" s="27">
        <f>SUMPRODUCT((MONTH('Saisie Factures'!A4:A224)=1)*(YEAR('Saisie Factures'!A4:A224)=B$3)*('Saisie Factures'!D4:D224="TRAFIC 2")*('Saisie Factures'!G4:G224="Gasoil")*('Saisie Factures'!J4:J224))</f>
        <v/>
      </c>
      <c r="F7" s="26">
        <f>SUMPRODUCT((MONTH('Saisie Factures'!A4:A224)=1)*(YEAR('Saisie Factures'!A4:A224)=B$3)*('Saisie Factures'!D4:D224="TRAFIC 2")*('Saisie Factures'!G4:G224="Adblue")*('Saisie Factures'!H4:H224))</f>
        <v/>
      </c>
      <c r="G7" s="27">
        <f>SUMPRODUCT((MONTH('Saisie Factures'!A4:A224)=1)*(YEAR('Saisie Factures'!A4:A224)=B$3)*('Saisie Factures'!D4:D224="TRAFIC 2")*('Saisie Factures'!G4:G224="Adblue")*('Saisie Factures'!J4:J224))</f>
        <v/>
      </c>
    </row>
    <row r="8">
      <c r="A8" s="34" t="inlineStr">
        <is>
          <t>Janvier</t>
        </is>
      </c>
      <c r="B8" s="35" t="inlineStr">
        <is>
          <t>SPRINTER 1</t>
        </is>
      </c>
      <c r="C8" s="35">
        <f>COUNTIFS('Saisie Factures'!A4:A224,"&gt;="&amp;DATE(B$3,1,1),'Saisie Factures'!A4:A224,"&lt;"&amp;DATE(B$3,1+1,1),'Saisie Factures'!D4:D224,"SPRINTER 1",'Saisie Factures'!G4:G224,"Gasoil")</f>
        <v/>
      </c>
      <c r="D8" s="36">
        <f>SUMPRODUCT((MONTH('Saisie Factures'!A4:A224)=1)*(YEAR('Saisie Factures'!A4:A224)=B$3)*('Saisie Factures'!D4:D224="SPRINTER 1")*('Saisie Factures'!G4:G224="Gasoil")*('Saisie Factures'!H4:H224))</f>
        <v/>
      </c>
      <c r="E8" s="37">
        <f>SUMPRODUCT((MONTH('Saisie Factures'!A4:A224)=1)*(YEAR('Saisie Factures'!A4:A224)=B$3)*('Saisie Factures'!D4:D224="SPRINTER 1")*('Saisie Factures'!G4:G224="Gasoil")*('Saisie Factures'!J4:J224))</f>
        <v/>
      </c>
      <c r="F8" s="36">
        <f>SUMPRODUCT((MONTH('Saisie Factures'!A4:A224)=1)*(YEAR('Saisie Factures'!A4:A224)=B$3)*('Saisie Factures'!D4:D224="SPRINTER 1")*('Saisie Factures'!G4:G224="Adblue")*('Saisie Factures'!H4:H224))</f>
        <v/>
      </c>
      <c r="G8" s="37">
        <f>SUMPRODUCT((MONTH('Saisie Factures'!A4:A224)=1)*(YEAR('Saisie Factures'!A4:A224)=B$3)*('Saisie Factures'!D4:D224="SPRINTER 1")*('Saisie Factures'!G4:G224="Adblue")*('Saisie Factures'!J4:J224))</f>
        <v/>
      </c>
    </row>
    <row r="9">
      <c r="A9" s="24" t="inlineStr">
        <is>
          <t>Février</t>
        </is>
      </c>
      <c r="B9" s="25" t="inlineStr">
        <is>
          <t>TRAFIC 1</t>
        </is>
      </c>
      <c r="C9" s="25">
        <f>COUNTIFS('Saisie Factures'!A4:A224,"&gt;="&amp;DATE(B$3,2,1),'Saisie Factures'!A4:A224,"&lt;"&amp;DATE(B$3,2+1,1),'Saisie Factures'!D4:D224,"TRAFIC 1",'Saisie Factures'!G4:G224,"Gasoil")</f>
        <v/>
      </c>
      <c r="D9" s="26">
        <f>SUMPRODUCT((MONTH('Saisie Factures'!A4:A224)=2)*(YEAR('Saisie Factures'!A4:A224)=B$3)*('Saisie Factures'!D4:D224="TRAFIC 1")*('Saisie Factures'!G4:G224="Gasoil")*('Saisie Factures'!H4:H224))</f>
        <v/>
      </c>
      <c r="E9" s="27">
        <f>SUMPRODUCT((MONTH('Saisie Factures'!A4:A224)=2)*(YEAR('Saisie Factures'!A4:A224)=B$3)*('Saisie Factures'!D4:D224="TRAFIC 1")*('Saisie Factures'!G4:G224="Gasoil")*('Saisie Factures'!J4:J224))</f>
        <v/>
      </c>
      <c r="F9" s="26">
        <f>SUMPRODUCT((MONTH('Saisie Factures'!A4:A224)=2)*(YEAR('Saisie Factures'!A4:A224)=B$3)*('Saisie Factures'!D4:D224="TRAFIC 1")*('Saisie Factures'!G4:G224="Adblue")*('Saisie Factures'!H4:H224))</f>
        <v/>
      </c>
      <c r="G9" s="27">
        <f>SUMPRODUCT((MONTH('Saisie Factures'!A4:A224)=2)*(YEAR('Saisie Factures'!A4:A224)=B$3)*('Saisie Factures'!D4:D224="TRAFIC 1")*('Saisie Factures'!G4:G224="Adblue")*('Saisie Factures'!J4:J224))</f>
        <v/>
      </c>
    </row>
    <row r="10">
      <c r="A10" s="34" t="inlineStr">
        <is>
          <t>Février</t>
        </is>
      </c>
      <c r="B10" s="35" t="inlineStr">
        <is>
          <t>TRAFIC 2</t>
        </is>
      </c>
      <c r="C10" s="35">
        <f>COUNTIFS('Saisie Factures'!A4:A224,"&gt;="&amp;DATE(B$3,2,1),'Saisie Factures'!A4:A224,"&lt;"&amp;DATE(B$3,2+1,1),'Saisie Factures'!D4:D224,"TRAFIC 2",'Saisie Factures'!G4:G224,"Gasoil")</f>
        <v/>
      </c>
      <c r="D10" s="36">
        <f>SUMPRODUCT((MONTH('Saisie Factures'!A4:A224)=2)*(YEAR('Saisie Factures'!A4:A224)=B$3)*('Saisie Factures'!D4:D224="TRAFIC 2")*('Saisie Factures'!G4:G224="Gasoil")*('Saisie Factures'!H4:H224))</f>
        <v/>
      </c>
      <c r="E10" s="37">
        <f>SUMPRODUCT((MONTH('Saisie Factures'!A4:A224)=2)*(YEAR('Saisie Factures'!A4:A224)=B$3)*('Saisie Factures'!D4:D224="TRAFIC 2")*('Saisie Factures'!G4:G224="Gasoil")*('Saisie Factures'!J4:J224))</f>
        <v/>
      </c>
      <c r="F10" s="36">
        <f>SUMPRODUCT((MONTH('Saisie Factures'!A4:A224)=2)*(YEAR('Saisie Factures'!A4:A224)=B$3)*('Saisie Factures'!D4:D224="TRAFIC 2")*('Saisie Factures'!G4:G224="Adblue")*('Saisie Factures'!H4:H224))</f>
        <v/>
      </c>
      <c r="G10" s="37">
        <f>SUMPRODUCT((MONTH('Saisie Factures'!A4:A224)=2)*(YEAR('Saisie Factures'!A4:A224)=B$3)*('Saisie Factures'!D4:D224="TRAFIC 2")*('Saisie Factures'!G4:G224="Adblue")*('Saisie Factures'!J4:J224))</f>
        <v/>
      </c>
    </row>
    <row r="11">
      <c r="A11" s="24" t="inlineStr">
        <is>
          <t>Février</t>
        </is>
      </c>
      <c r="B11" s="25" t="inlineStr">
        <is>
          <t>SPRINTER 1</t>
        </is>
      </c>
      <c r="C11" s="25">
        <f>COUNTIFS('Saisie Factures'!A4:A224,"&gt;="&amp;DATE(B$3,2,1),'Saisie Factures'!A4:A224,"&lt;"&amp;DATE(B$3,2+1,1),'Saisie Factures'!D4:D224,"SPRINTER 1",'Saisie Factures'!G4:G224,"Gasoil")</f>
        <v/>
      </c>
      <c r="D11" s="26">
        <f>SUMPRODUCT((MONTH('Saisie Factures'!A4:A224)=2)*(YEAR('Saisie Factures'!A4:A224)=B$3)*('Saisie Factures'!D4:D224="SPRINTER 1")*('Saisie Factures'!G4:G224="Gasoil")*('Saisie Factures'!H4:H224))</f>
        <v/>
      </c>
      <c r="E11" s="27">
        <f>SUMPRODUCT((MONTH('Saisie Factures'!A4:A224)=2)*(YEAR('Saisie Factures'!A4:A224)=B$3)*('Saisie Factures'!D4:D224="SPRINTER 1")*('Saisie Factures'!G4:G224="Gasoil")*('Saisie Factures'!J4:J224))</f>
        <v/>
      </c>
      <c r="F11" s="26">
        <f>SUMPRODUCT((MONTH('Saisie Factures'!A4:A224)=2)*(YEAR('Saisie Factures'!A4:A224)=B$3)*('Saisie Factures'!D4:D224="SPRINTER 1")*('Saisie Factures'!G4:G224="Adblue")*('Saisie Factures'!H4:H224))</f>
        <v/>
      </c>
      <c r="G11" s="27">
        <f>SUMPRODUCT((MONTH('Saisie Factures'!A4:A224)=2)*(YEAR('Saisie Factures'!A4:A224)=B$3)*('Saisie Factures'!D4:D224="SPRINTER 1")*('Saisie Factures'!G4:G224="Adblue")*('Saisie Factures'!J4:J224))</f>
        <v/>
      </c>
    </row>
    <row r="12">
      <c r="A12" s="34" t="inlineStr">
        <is>
          <t>Mars</t>
        </is>
      </c>
      <c r="B12" s="35" t="inlineStr">
        <is>
          <t>TRAFIC 1</t>
        </is>
      </c>
      <c r="C12" s="35">
        <f>COUNTIFS('Saisie Factures'!A4:A224,"&gt;="&amp;DATE(B$3,3,1),'Saisie Factures'!A4:A224,"&lt;"&amp;DATE(B$3,3+1,1),'Saisie Factures'!D4:D224,"TRAFIC 1",'Saisie Factures'!G4:G224,"Gasoil")</f>
        <v/>
      </c>
      <c r="D12" s="36">
        <f>SUMPRODUCT((MONTH('Saisie Factures'!A4:A224)=3)*(YEAR('Saisie Factures'!A4:A224)=B$3)*('Saisie Factures'!D4:D224="TRAFIC 1")*('Saisie Factures'!G4:G224="Gasoil")*('Saisie Factures'!H4:H224))</f>
        <v/>
      </c>
      <c r="E12" s="37">
        <f>SUMPRODUCT((MONTH('Saisie Factures'!A4:A224)=3)*(YEAR('Saisie Factures'!A4:A224)=B$3)*('Saisie Factures'!D4:D224="TRAFIC 1")*('Saisie Factures'!G4:G224="Gasoil")*('Saisie Factures'!J4:J224))</f>
        <v/>
      </c>
      <c r="F12" s="36">
        <f>SUMPRODUCT((MONTH('Saisie Factures'!A4:A224)=3)*(YEAR('Saisie Factures'!A4:A224)=B$3)*('Saisie Factures'!D4:D224="TRAFIC 1")*('Saisie Factures'!G4:G224="Adblue")*('Saisie Factures'!H4:H224))</f>
        <v/>
      </c>
      <c r="G12" s="37">
        <f>SUMPRODUCT((MONTH('Saisie Factures'!A4:A224)=3)*(YEAR('Saisie Factures'!A4:A224)=B$3)*('Saisie Factures'!D4:D224="TRAFIC 1")*('Saisie Factures'!G4:G224="Adblue")*('Saisie Factures'!J4:J224))</f>
        <v/>
      </c>
    </row>
    <row r="13">
      <c r="A13" s="24" t="inlineStr">
        <is>
          <t>Mars</t>
        </is>
      </c>
      <c r="B13" s="25" t="inlineStr">
        <is>
          <t>TRAFIC 2</t>
        </is>
      </c>
      <c r="C13" s="25">
        <f>COUNTIFS('Saisie Factures'!A4:A224,"&gt;="&amp;DATE(B$3,3,1),'Saisie Factures'!A4:A224,"&lt;"&amp;DATE(B$3,3+1,1),'Saisie Factures'!D4:D224,"TRAFIC 2",'Saisie Factures'!G4:G224,"Gasoil")</f>
        <v/>
      </c>
      <c r="D13" s="26">
        <f>SUMPRODUCT((MONTH('Saisie Factures'!A4:A224)=3)*(YEAR('Saisie Factures'!A4:A224)=B$3)*('Saisie Factures'!D4:D224="TRAFIC 2")*('Saisie Factures'!G4:G224="Gasoil")*('Saisie Factures'!H4:H224))</f>
        <v/>
      </c>
      <c r="E13" s="27">
        <f>SUMPRODUCT((MONTH('Saisie Factures'!A4:A224)=3)*(YEAR('Saisie Factures'!A4:A224)=B$3)*('Saisie Factures'!D4:D224="TRAFIC 2")*('Saisie Factures'!G4:G224="Gasoil")*('Saisie Factures'!J4:J224))</f>
        <v/>
      </c>
      <c r="F13" s="26">
        <f>SUMPRODUCT((MONTH('Saisie Factures'!A4:A224)=3)*(YEAR('Saisie Factures'!A4:A224)=B$3)*('Saisie Factures'!D4:D224="TRAFIC 2")*('Saisie Factures'!G4:G224="Adblue")*('Saisie Factures'!H4:H224))</f>
        <v/>
      </c>
      <c r="G13" s="27">
        <f>SUMPRODUCT((MONTH('Saisie Factures'!A4:A224)=3)*(YEAR('Saisie Factures'!A4:A224)=B$3)*('Saisie Factures'!D4:D224="TRAFIC 2")*('Saisie Factures'!G4:G224="Adblue")*('Saisie Factures'!J4:J224))</f>
        <v/>
      </c>
    </row>
    <row r="14">
      <c r="A14" s="34" t="inlineStr">
        <is>
          <t>Mars</t>
        </is>
      </c>
      <c r="B14" s="35" t="inlineStr">
        <is>
          <t>SPRINTER 1</t>
        </is>
      </c>
      <c r="C14" s="35">
        <f>COUNTIFS('Saisie Factures'!A4:A224,"&gt;="&amp;DATE(B$3,3,1),'Saisie Factures'!A4:A224,"&lt;"&amp;DATE(B$3,3+1,1),'Saisie Factures'!D4:D224,"SPRINTER 1",'Saisie Factures'!G4:G224,"Gasoil")</f>
        <v/>
      </c>
      <c r="D14" s="36">
        <f>SUMPRODUCT((MONTH('Saisie Factures'!A4:A224)=3)*(YEAR('Saisie Factures'!A4:A224)=B$3)*('Saisie Factures'!D4:D224="SPRINTER 1")*('Saisie Factures'!G4:G224="Gasoil")*('Saisie Factures'!H4:H224))</f>
        <v/>
      </c>
      <c r="E14" s="37">
        <f>SUMPRODUCT((MONTH('Saisie Factures'!A4:A224)=3)*(YEAR('Saisie Factures'!A4:A224)=B$3)*('Saisie Factures'!D4:D224="SPRINTER 1")*('Saisie Factures'!G4:G224="Gasoil")*('Saisie Factures'!J4:J224))</f>
        <v/>
      </c>
      <c r="F14" s="36">
        <f>SUMPRODUCT((MONTH('Saisie Factures'!A4:A224)=3)*(YEAR('Saisie Factures'!A4:A224)=B$3)*('Saisie Factures'!D4:D224="SPRINTER 1")*('Saisie Factures'!G4:G224="Adblue")*('Saisie Factures'!H4:H224))</f>
        <v/>
      </c>
      <c r="G14" s="37">
        <f>SUMPRODUCT((MONTH('Saisie Factures'!A4:A224)=3)*(YEAR('Saisie Factures'!A4:A224)=B$3)*('Saisie Factures'!D4:D224="SPRINTER 1")*('Saisie Factures'!G4:G224="Adblue")*('Saisie Factures'!J4:J224))</f>
        <v/>
      </c>
    </row>
    <row r="15">
      <c r="A15" s="24" t="inlineStr">
        <is>
          <t>Avril</t>
        </is>
      </c>
      <c r="B15" s="25" t="inlineStr">
        <is>
          <t>TRAFIC 1</t>
        </is>
      </c>
      <c r="C15" s="25">
        <f>COUNTIFS('Saisie Factures'!A4:A224,"&gt;="&amp;DATE(B$3,4,1),'Saisie Factures'!A4:A224,"&lt;"&amp;DATE(B$3,4+1,1),'Saisie Factures'!D4:D224,"TRAFIC 1",'Saisie Factures'!G4:G224,"Gasoil")</f>
        <v/>
      </c>
      <c r="D15" s="26">
        <f>SUMPRODUCT((MONTH('Saisie Factures'!A4:A224)=4)*(YEAR('Saisie Factures'!A4:A224)=B$3)*('Saisie Factures'!D4:D224="TRAFIC 1")*('Saisie Factures'!G4:G224="Gasoil")*('Saisie Factures'!H4:H224))</f>
        <v/>
      </c>
      <c r="E15" s="27">
        <f>SUMPRODUCT((MONTH('Saisie Factures'!A4:A224)=4)*(YEAR('Saisie Factures'!A4:A224)=B$3)*('Saisie Factures'!D4:D224="TRAFIC 1")*('Saisie Factures'!G4:G224="Gasoil")*('Saisie Factures'!J4:J224))</f>
        <v/>
      </c>
      <c r="F15" s="26">
        <f>SUMPRODUCT((MONTH('Saisie Factures'!A4:A224)=4)*(YEAR('Saisie Factures'!A4:A224)=B$3)*('Saisie Factures'!D4:D224="TRAFIC 1")*('Saisie Factures'!G4:G224="Adblue")*('Saisie Factures'!H4:H224))</f>
        <v/>
      </c>
      <c r="G15" s="27">
        <f>SUMPRODUCT((MONTH('Saisie Factures'!A4:A224)=4)*(YEAR('Saisie Factures'!A4:A224)=B$3)*('Saisie Factures'!D4:D224="TRAFIC 1")*('Saisie Factures'!G4:G224="Adblue")*('Saisie Factures'!J4:J224))</f>
        <v/>
      </c>
    </row>
    <row r="16">
      <c r="A16" s="34" t="inlineStr">
        <is>
          <t>Avril</t>
        </is>
      </c>
      <c r="B16" s="35" t="inlineStr">
        <is>
          <t>TRAFIC 2</t>
        </is>
      </c>
      <c r="C16" s="35">
        <f>COUNTIFS('Saisie Factures'!A4:A224,"&gt;="&amp;DATE(B$3,4,1),'Saisie Factures'!A4:A224,"&lt;"&amp;DATE(B$3,4+1,1),'Saisie Factures'!D4:D224,"TRAFIC 2",'Saisie Factures'!G4:G224,"Gasoil")</f>
        <v/>
      </c>
      <c r="D16" s="36">
        <f>SUMPRODUCT((MONTH('Saisie Factures'!A4:A224)=4)*(YEAR('Saisie Factures'!A4:A224)=B$3)*('Saisie Factures'!D4:D224="TRAFIC 2")*('Saisie Factures'!G4:G224="Gasoil")*('Saisie Factures'!H4:H224))</f>
        <v/>
      </c>
      <c r="E16" s="37">
        <f>SUMPRODUCT((MONTH('Saisie Factures'!A4:A224)=4)*(YEAR('Saisie Factures'!A4:A224)=B$3)*('Saisie Factures'!D4:D224="TRAFIC 2")*('Saisie Factures'!G4:G224="Gasoil")*('Saisie Factures'!J4:J224))</f>
        <v/>
      </c>
      <c r="F16" s="36">
        <f>SUMPRODUCT((MONTH('Saisie Factures'!A4:A224)=4)*(YEAR('Saisie Factures'!A4:A224)=B$3)*('Saisie Factures'!D4:D224="TRAFIC 2")*('Saisie Factures'!G4:G224="Adblue")*('Saisie Factures'!H4:H224))</f>
        <v/>
      </c>
      <c r="G16" s="37">
        <f>SUMPRODUCT((MONTH('Saisie Factures'!A4:A224)=4)*(YEAR('Saisie Factures'!A4:A224)=B$3)*('Saisie Factures'!D4:D224="TRAFIC 2")*('Saisie Factures'!G4:G224="Adblue")*('Saisie Factures'!J4:J224))</f>
        <v/>
      </c>
    </row>
    <row r="17">
      <c r="A17" s="24" t="inlineStr">
        <is>
          <t>Avril</t>
        </is>
      </c>
      <c r="B17" s="25" t="inlineStr">
        <is>
          <t>SPRINTER 1</t>
        </is>
      </c>
      <c r="C17" s="25">
        <f>COUNTIFS('Saisie Factures'!A4:A224,"&gt;="&amp;DATE(B$3,4,1),'Saisie Factures'!A4:A224,"&lt;"&amp;DATE(B$3,4+1,1),'Saisie Factures'!D4:D224,"SPRINTER 1",'Saisie Factures'!G4:G224,"Gasoil")</f>
        <v/>
      </c>
      <c r="D17" s="26">
        <f>SUMPRODUCT((MONTH('Saisie Factures'!A4:A224)=4)*(YEAR('Saisie Factures'!A4:A224)=B$3)*('Saisie Factures'!D4:D224="SPRINTER 1")*('Saisie Factures'!G4:G224="Gasoil")*('Saisie Factures'!H4:H224))</f>
        <v/>
      </c>
      <c r="E17" s="27">
        <f>SUMPRODUCT((MONTH('Saisie Factures'!A4:A224)=4)*(YEAR('Saisie Factures'!A4:A224)=B$3)*('Saisie Factures'!D4:D224="SPRINTER 1")*('Saisie Factures'!G4:G224="Gasoil")*('Saisie Factures'!J4:J224))</f>
        <v/>
      </c>
      <c r="F17" s="26">
        <f>SUMPRODUCT((MONTH('Saisie Factures'!A4:A224)=4)*(YEAR('Saisie Factures'!A4:A224)=B$3)*('Saisie Factures'!D4:D224="SPRINTER 1")*('Saisie Factures'!G4:G224="Adblue")*('Saisie Factures'!H4:H224))</f>
        <v/>
      </c>
      <c r="G17" s="27">
        <f>SUMPRODUCT((MONTH('Saisie Factures'!A4:A224)=4)*(YEAR('Saisie Factures'!A4:A224)=B$3)*('Saisie Factures'!D4:D224="SPRINTER 1")*('Saisie Factures'!G4:G224="Adblue")*('Saisie Factures'!J4:J224))</f>
        <v/>
      </c>
    </row>
    <row r="18">
      <c r="A18" s="34" t="inlineStr">
        <is>
          <t>Mai</t>
        </is>
      </c>
      <c r="B18" s="35" t="inlineStr">
        <is>
          <t>TRAFIC 1</t>
        </is>
      </c>
      <c r="C18" s="35">
        <f>COUNTIFS('Saisie Factures'!A4:A224,"&gt;="&amp;DATE(B$3,5,1),'Saisie Factures'!A4:A224,"&lt;"&amp;DATE(B$3,5+1,1),'Saisie Factures'!D4:D224,"TRAFIC 1",'Saisie Factures'!G4:G224,"Gasoil")</f>
        <v/>
      </c>
      <c r="D18" s="36">
        <f>SUMPRODUCT((MONTH('Saisie Factures'!A4:A224)=5)*(YEAR('Saisie Factures'!A4:A224)=B$3)*('Saisie Factures'!D4:D224="TRAFIC 1")*('Saisie Factures'!G4:G224="Gasoil")*('Saisie Factures'!H4:H224))</f>
        <v/>
      </c>
      <c r="E18" s="37">
        <f>SUMPRODUCT((MONTH('Saisie Factures'!A4:A224)=5)*(YEAR('Saisie Factures'!A4:A224)=B$3)*('Saisie Factures'!D4:D224="TRAFIC 1")*('Saisie Factures'!G4:G224="Gasoil")*('Saisie Factures'!J4:J224))</f>
        <v/>
      </c>
      <c r="F18" s="36">
        <f>SUMPRODUCT((MONTH('Saisie Factures'!A4:A224)=5)*(YEAR('Saisie Factures'!A4:A224)=B$3)*('Saisie Factures'!D4:D224="TRAFIC 1")*('Saisie Factures'!G4:G224="Adblue")*('Saisie Factures'!H4:H224))</f>
        <v/>
      </c>
      <c r="G18" s="37">
        <f>SUMPRODUCT((MONTH('Saisie Factures'!A4:A224)=5)*(YEAR('Saisie Factures'!A4:A224)=B$3)*('Saisie Factures'!D4:D224="TRAFIC 1")*('Saisie Factures'!G4:G224="Adblue")*('Saisie Factures'!J4:J224))</f>
        <v/>
      </c>
    </row>
    <row r="19">
      <c r="A19" s="24" t="inlineStr">
        <is>
          <t>Mai</t>
        </is>
      </c>
      <c r="B19" s="25" t="inlineStr">
        <is>
          <t>TRAFIC 2</t>
        </is>
      </c>
      <c r="C19" s="25">
        <f>COUNTIFS('Saisie Factures'!A4:A224,"&gt;="&amp;DATE(B$3,5,1),'Saisie Factures'!A4:A224,"&lt;"&amp;DATE(B$3,5+1,1),'Saisie Factures'!D4:D224,"TRAFIC 2",'Saisie Factures'!G4:G224,"Gasoil")</f>
        <v/>
      </c>
      <c r="D19" s="26">
        <f>SUMPRODUCT((MONTH('Saisie Factures'!A4:A224)=5)*(YEAR('Saisie Factures'!A4:A224)=B$3)*('Saisie Factures'!D4:D224="TRAFIC 2")*('Saisie Factures'!G4:G224="Gasoil")*('Saisie Factures'!H4:H224))</f>
        <v/>
      </c>
      <c r="E19" s="27">
        <f>SUMPRODUCT((MONTH('Saisie Factures'!A4:A224)=5)*(YEAR('Saisie Factures'!A4:A224)=B$3)*('Saisie Factures'!D4:D224="TRAFIC 2")*('Saisie Factures'!G4:G224="Gasoil")*('Saisie Factures'!J4:J224))</f>
        <v/>
      </c>
      <c r="F19" s="26">
        <f>SUMPRODUCT((MONTH('Saisie Factures'!A4:A224)=5)*(YEAR('Saisie Factures'!A4:A224)=B$3)*('Saisie Factures'!D4:D224="TRAFIC 2")*('Saisie Factures'!G4:G224="Adblue")*('Saisie Factures'!H4:H224))</f>
        <v/>
      </c>
      <c r="G19" s="27">
        <f>SUMPRODUCT((MONTH('Saisie Factures'!A4:A224)=5)*(YEAR('Saisie Factures'!A4:A224)=B$3)*('Saisie Factures'!D4:D224="TRAFIC 2")*('Saisie Factures'!G4:G224="Adblue")*('Saisie Factures'!J4:J224))</f>
        <v/>
      </c>
    </row>
    <row r="20">
      <c r="A20" s="34" t="inlineStr">
        <is>
          <t>Mai</t>
        </is>
      </c>
      <c r="B20" s="35" t="inlineStr">
        <is>
          <t>SPRINTER 1</t>
        </is>
      </c>
      <c r="C20" s="35">
        <f>COUNTIFS('Saisie Factures'!A4:A224,"&gt;="&amp;DATE(B$3,5,1),'Saisie Factures'!A4:A224,"&lt;"&amp;DATE(B$3,5+1,1),'Saisie Factures'!D4:D224,"SPRINTER 1",'Saisie Factures'!G4:G224,"Gasoil")</f>
        <v/>
      </c>
      <c r="D20" s="36">
        <f>SUMPRODUCT((MONTH('Saisie Factures'!A4:A224)=5)*(YEAR('Saisie Factures'!A4:A224)=B$3)*('Saisie Factures'!D4:D224="SPRINTER 1")*('Saisie Factures'!G4:G224="Gasoil")*('Saisie Factures'!H4:H224))</f>
        <v/>
      </c>
      <c r="E20" s="37">
        <f>SUMPRODUCT((MONTH('Saisie Factures'!A4:A224)=5)*(YEAR('Saisie Factures'!A4:A224)=B$3)*('Saisie Factures'!D4:D224="SPRINTER 1")*('Saisie Factures'!G4:G224="Gasoil")*('Saisie Factures'!J4:J224))</f>
        <v/>
      </c>
      <c r="F20" s="36">
        <f>SUMPRODUCT((MONTH('Saisie Factures'!A4:A224)=5)*(YEAR('Saisie Factures'!A4:A224)=B$3)*('Saisie Factures'!D4:D224="SPRINTER 1")*('Saisie Factures'!G4:G224="Adblue")*('Saisie Factures'!H4:H224))</f>
        <v/>
      </c>
      <c r="G20" s="37">
        <f>SUMPRODUCT((MONTH('Saisie Factures'!A4:A224)=5)*(YEAR('Saisie Factures'!A4:A224)=B$3)*('Saisie Factures'!D4:D224="SPRINTER 1")*('Saisie Factures'!G4:G224="Adblue")*('Saisie Factures'!J4:J224))</f>
        <v/>
      </c>
    </row>
    <row r="21">
      <c r="A21" s="24" t="inlineStr">
        <is>
          <t>Juin</t>
        </is>
      </c>
      <c r="B21" s="25" t="inlineStr">
        <is>
          <t>TRAFIC 1</t>
        </is>
      </c>
      <c r="C21" s="25">
        <f>COUNTIFS('Saisie Factures'!A4:A224,"&gt;="&amp;DATE(B$3,6,1),'Saisie Factures'!A4:A224,"&lt;"&amp;DATE(B$3,6+1,1),'Saisie Factures'!D4:D224,"TRAFIC 1",'Saisie Factures'!G4:G224,"Gasoil")</f>
        <v/>
      </c>
      <c r="D21" s="26">
        <f>SUMPRODUCT((MONTH('Saisie Factures'!A4:A224)=6)*(YEAR('Saisie Factures'!A4:A224)=B$3)*('Saisie Factures'!D4:D224="TRAFIC 1")*('Saisie Factures'!G4:G224="Gasoil")*('Saisie Factures'!H4:H224))</f>
        <v/>
      </c>
      <c r="E21" s="27">
        <f>SUMPRODUCT((MONTH('Saisie Factures'!A4:A224)=6)*(YEAR('Saisie Factures'!A4:A224)=B$3)*('Saisie Factures'!D4:D224="TRAFIC 1")*('Saisie Factures'!G4:G224="Gasoil")*('Saisie Factures'!J4:J224))</f>
        <v/>
      </c>
      <c r="F21" s="26">
        <f>SUMPRODUCT((MONTH('Saisie Factures'!A4:A224)=6)*(YEAR('Saisie Factures'!A4:A224)=B$3)*('Saisie Factures'!D4:D224="TRAFIC 1")*('Saisie Factures'!G4:G224="Adblue")*('Saisie Factures'!H4:H224))</f>
        <v/>
      </c>
      <c r="G21" s="27">
        <f>SUMPRODUCT((MONTH('Saisie Factures'!A4:A224)=6)*(YEAR('Saisie Factures'!A4:A224)=B$3)*('Saisie Factures'!D4:D224="TRAFIC 1")*('Saisie Factures'!G4:G224="Adblue")*('Saisie Factures'!J4:J224))</f>
        <v/>
      </c>
    </row>
    <row r="22">
      <c r="A22" s="34" t="inlineStr">
        <is>
          <t>Juin</t>
        </is>
      </c>
      <c r="B22" s="35" t="inlineStr">
        <is>
          <t>TRAFIC 2</t>
        </is>
      </c>
      <c r="C22" s="35">
        <f>COUNTIFS('Saisie Factures'!A4:A224,"&gt;="&amp;DATE(B$3,6,1),'Saisie Factures'!A4:A224,"&lt;"&amp;DATE(B$3,6+1,1),'Saisie Factures'!D4:D224,"TRAFIC 2",'Saisie Factures'!G4:G224,"Gasoil")</f>
        <v/>
      </c>
      <c r="D22" s="36">
        <f>SUMPRODUCT((MONTH('Saisie Factures'!A4:A224)=6)*(YEAR('Saisie Factures'!A4:A224)=B$3)*('Saisie Factures'!D4:D224="TRAFIC 2")*('Saisie Factures'!G4:G224="Gasoil")*('Saisie Factures'!H4:H224))</f>
        <v/>
      </c>
      <c r="E22" s="37">
        <f>SUMPRODUCT((MONTH('Saisie Factures'!A4:A224)=6)*(YEAR('Saisie Factures'!A4:A224)=B$3)*('Saisie Factures'!D4:D224="TRAFIC 2")*('Saisie Factures'!G4:G224="Gasoil")*('Saisie Factures'!J4:J224))</f>
        <v/>
      </c>
      <c r="F22" s="36">
        <f>SUMPRODUCT((MONTH('Saisie Factures'!A4:A224)=6)*(YEAR('Saisie Factures'!A4:A224)=B$3)*('Saisie Factures'!D4:D224="TRAFIC 2")*('Saisie Factures'!G4:G224="Adblue")*('Saisie Factures'!H4:H224))</f>
        <v/>
      </c>
      <c r="G22" s="37">
        <f>SUMPRODUCT((MONTH('Saisie Factures'!A4:A224)=6)*(YEAR('Saisie Factures'!A4:A224)=B$3)*('Saisie Factures'!D4:D224="TRAFIC 2")*('Saisie Factures'!G4:G224="Adblue")*('Saisie Factures'!J4:J224))</f>
        <v/>
      </c>
    </row>
    <row r="23">
      <c r="A23" s="24" t="inlineStr">
        <is>
          <t>Juin</t>
        </is>
      </c>
      <c r="B23" s="25" t="inlineStr">
        <is>
          <t>SPRINTER 1</t>
        </is>
      </c>
      <c r="C23" s="25">
        <f>COUNTIFS('Saisie Factures'!A4:A224,"&gt;="&amp;DATE(B$3,6,1),'Saisie Factures'!A4:A224,"&lt;"&amp;DATE(B$3,6+1,1),'Saisie Factures'!D4:D224,"SPRINTER 1",'Saisie Factures'!G4:G224,"Gasoil")</f>
        <v/>
      </c>
      <c r="D23" s="26">
        <f>SUMPRODUCT((MONTH('Saisie Factures'!A4:A224)=6)*(YEAR('Saisie Factures'!A4:A224)=B$3)*('Saisie Factures'!D4:D224="SPRINTER 1")*('Saisie Factures'!G4:G224="Gasoil")*('Saisie Factures'!H4:H224))</f>
        <v/>
      </c>
      <c r="E23" s="27">
        <f>SUMPRODUCT((MONTH('Saisie Factures'!A4:A224)=6)*(YEAR('Saisie Factures'!A4:A224)=B$3)*('Saisie Factures'!D4:D224="SPRINTER 1")*('Saisie Factures'!G4:G224="Gasoil")*('Saisie Factures'!J4:J224))</f>
        <v/>
      </c>
      <c r="F23" s="26">
        <f>SUMPRODUCT((MONTH('Saisie Factures'!A4:A224)=6)*(YEAR('Saisie Factures'!A4:A224)=B$3)*('Saisie Factures'!D4:D224="SPRINTER 1")*('Saisie Factures'!G4:G224="Adblue")*('Saisie Factures'!H4:H224))</f>
        <v/>
      </c>
      <c r="G23" s="27">
        <f>SUMPRODUCT((MONTH('Saisie Factures'!A4:A224)=6)*(YEAR('Saisie Factures'!A4:A224)=B$3)*('Saisie Factures'!D4:D224="SPRINTER 1")*('Saisie Factures'!G4:G224="Adblue")*('Saisie Factures'!J4:J224))</f>
        <v/>
      </c>
    </row>
    <row r="24">
      <c r="A24" s="34" t="inlineStr">
        <is>
          <t>Juillet</t>
        </is>
      </c>
      <c r="B24" s="35" t="inlineStr">
        <is>
          <t>TRAFIC 1</t>
        </is>
      </c>
      <c r="C24" s="35">
        <f>COUNTIFS('Saisie Factures'!A4:A224,"&gt;="&amp;DATE(B$3,7,1),'Saisie Factures'!A4:A224,"&lt;"&amp;DATE(B$3,7+1,1),'Saisie Factures'!D4:D224,"TRAFIC 1",'Saisie Factures'!G4:G224,"Gasoil")</f>
        <v/>
      </c>
      <c r="D24" s="36">
        <f>SUMPRODUCT((MONTH('Saisie Factures'!A4:A224)=7)*(YEAR('Saisie Factures'!A4:A224)=B$3)*('Saisie Factures'!D4:D224="TRAFIC 1")*('Saisie Factures'!G4:G224="Gasoil")*('Saisie Factures'!H4:H224))</f>
        <v/>
      </c>
      <c r="E24" s="37">
        <f>SUMPRODUCT((MONTH('Saisie Factures'!A4:A224)=7)*(YEAR('Saisie Factures'!A4:A224)=B$3)*('Saisie Factures'!D4:D224="TRAFIC 1")*('Saisie Factures'!G4:G224="Gasoil")*('Saisie Factures'!J4:J224))</f>
        <v/>
      </c>
      <c r="F24" s="36">
        <f>SUMPRODUCT((MONTH('Saisie Factures'!A4:A224)=7)*(YEAR('Saisie Factures'!A4:A224)=B$3)*('Saisie Factures'!D4:D224="TRAFIC 1")*('Saisie Factures'!G4:G224="Adblue")*('Saisie Factures'!H4:H224))</f>
        <v/>
      </c>
      <c r="G24" s="37">
        <f>SUMPRODUCT((MONTH('Saisie Factures'!A4:A224)=7)*(YEAR('Saisie Factures'!A4:A224)=B$3)*('Saisie Factures'!D4:D224="TRAFIC 1")*('Saisie Factures'!G4:G224="Adblue")*('Saisie Factures'!J4:J224))</f>
        <v/>
      </c>
    </row>
    <row r="25">
      <c r="A25" s="24" t="inlineStr">
        <is>
          <t>Juillet</t>
        </is>
      </c>
      <c r="B25" s="25" t="inlineStr">
        <is>
          <t>TRAFIC 2</t>
        </is>
      </c>
      <c r="C25" s="25">
        <f>COUNTIFS('Saisie Factures'!A4:A224,"&gt;="&amp;DATE(B$3,7,1),'Saisie Factures'!A4:A224,"&lt;"&amp;DATE(B$3,7+1,1),'Saisie Factures'!D4:D224,"TRAFIC 2",'Saisie Factures'!G4:G224,"Gasoil")</f>
        <v/>
      </c>
      <c r="D25" s="26">
        <f>SUMPRODUCT((MONTH('Saisie Factures'!A4:A224)=7)*(YEAR('Saisie Factures'!A4:A224)=B$3)*('Saisie Factures'!D4:D224="TRAFIC 2")*('Saisie Factures'!G4:G224="Gasoil")*('Saisie Factures'!H4:H224))</f>
        <v/>
      </c>
      <c r="E25" s="27">
        <f>SUMPRODUCT((MONTH('Saisie Factures'!A4:A224)=7)*(YEAR('Saisie Factures'!A4:A224)=B$3)*('Saisie Factures'!D4:D224="TRAFIC 2")*('Saisie Factures'!G4:G224="Gasoil")*('Saisie Factures'!J4:J224))</f>
        <v/>
      </c>
      <c r="F25" s="26">
        <f>SUMPRODUCT((MONTH('Saisie Factures'!A4:A224)=7)*(YEAR('Saisie Factures'!A4:A224)=B$3)*('Saisie Factures'!D4:D224="TRAFIC 2")*('Saisie Factures'!G4:G224="Adblue")*('Saisie Factures'!H4:H224))</f>
        <v/>
      </c>
      <c r="G25" s="27">
        <f>SUMPRODUCT((MONTH('Saisie Factures'!A4:A224)=7)*(YEAR('Saisie Factures'!A4:A224)=B$3)*('Saisie Factures'!D4:D224="TRAFIC 2")*('Saisie Factures'!G4:G224="Adblue")*('Saisie Factures'!J4:J224))</f>
        <v/>
      </c>
    </row>
    <row r="26">
      <c r="A26" s="34" t="inlineStr">
        <is>
          <t>Juillet</t>
        </is>
      </c>
      <c r="B26" s="35" t="inlineStr">
        <is>
          <t>SPRINTER 1</t>
        </is>
      </c>
      <c r="C26" s="35">
        <f>COUNTIFS('Saisie Factures'!A4:A224,"&gt;="&amp;DATE(B$3,7,1),'Saisie Factures'!A4:A224,"&lt;"&amp;DATE(B$3,7+1,1),'Saisie Factures'!D4:D224,"SPRINTER 1",'Saisie Factures'!G4:G224,"Gasoil")</f>
        <v/>
      </c>
      <c r="D26" s="36">
        <f>SUMPRODUCT((MONTH('Saisie Factures'!A4:A224)=7)*(YEAR('Saisie Factures'!A4:A224)=B$3)*('Saisie Factures'!D4:D224="SPRINTER 1")*('Saisie Factures'!G4:G224="Gasoil")*('Saisie Factures'!H4:H224))</f>
        <v/>
      </c>
      <c r="E26" s="37">
        <f>SUMPRODUCT((MONTH('Saisie Factures'!A4:A224)=7)*(YEAR('Saisie Factures'!A4:A224)=B$3)*('Saisie Factures'!D4:D224="SPRINTER 1")*('Saisie Factures'!G4:G224="Gasoil")*('Saisie Factures'!J4:J224))</f>
        <v/>
      </c>
      <c r="F26" s="36">
        <f>SUMPRODUCT((MONTH('Saisie Factures'!A4:A224)=7)*(YEAR('Saisie Factures'!A4:A224)=B$3)*('Saisie Factures'!D4:D224="SPRINTER 1")*('Saisie Factures'!G4:G224="Adblue")*('Saisie Factures'!H4:H224))</f>
        <v/>
      </c>
      <c r="G26" s="37">
        <f>SUMPRODUCT((MONTH('Saisie Factures'!A4:A224)=7)*(YEAR('Saisie Factures'!A4:A224)=B$3)*('Saisie Factures'!D4:D224="SPRINTER 1")*('Saisie Factures'!G4:G224="Adblue")*('Saisie Factures'!J4:J224))</f>
        <v/>
      </c>
    </row>
    <row r="27">
      <c r="A27" s="24" t="inlineStr">
        <is>
          <t>Août</t>
        </is>
      </c>
      <c r="B27" s="25" t="inlineStr">
        <is>
          <t>TRAFIC 1</t>
        </is>
      </c>
      <c r="C27" s="25">
        <f>COUNTIFS('Saisie Factures'!A4:A224,"&gt;="&amp;DATE(B$3,8,1),'Saisie Factures'!A4:A224,"&lt;"&amp;DATE(B$3,8+1,1),'Saisie Factures'!D4:D224,"TRAFIC 1",'Saisie Factures'!G4:G224,"Gasoil")</f>
        <v/>
      </c>
      <c r="D27" s="26">
        <f>SUMPRODUCT((MONTH('Saisie Factures'!A4:A224)=8)*(YEAR('Saisie Factures'!A4:A224)=B$3)*('Saisie Factures'!D4:D224="TRAFIC 1")*('Saisie Factures'!G4:G224="Gasoil")*('Saisie Factures'!H4:H224))</f>
        <v/>
      </c>
      <c r="E27" s="27">
        <f>SUMPRODUCT((MONTH('Saisie Factures'!A4:A224)=8)*(YEAR('Saisie Factures'!A4:A224)=B$3)*('Saisie Factures'!D4:D224="TRAFIC 1")*('Saisie Factures'!G4:G224="Gasoil")*('Saisie Factures'!J4:J224))</f>
        <v/>
      </c>
      <c r="F27" s="26">
        <f>SUMPRODUCT((MONTH('Saisie Factures'!A4:A224)=8)*(YEAR('Saisie Factures'!A4:A224)=B$3)*('Saisie Factures'!D4:D224="TRAFIC 1")*('Saisie Factures'!G4:G224="Adblue")*('Saisie Factures'!H4:H224))</f>
        <v/>
      </c>
      <c r="G27" s="27">
        <f>SUMPRODUCT((MONTH('Saisie Factures'!A4:A224)=8)*(YEAR('Saisie Factures'!A4:A224)=B$3)*('Saisie Factures'!D4:D224="TRAFIC 1")*('Saisie Factures'!G4:G224="Adblue")*('Saisie Factures'!J4:J224))</f>
        <v/>
      </c>
    </row>
    <row r="28">
      <c r="A28" s="34" t="inlineStr">
        <is>
          <t>Août</t>
        </is>
      </c>
      <c r="B28" s="35" t="inlineStr">
        <is>
          <t>TRAFIC 2</t>
        </is>
      </c>
      <c r="C28" s="35">
        <f>COUNTIFS('Saisie Factures'!A4:A224,"&gt;="&amp;DATE(B$3,8,1),'Saisie Factures'!A4:A224,"&lt;"&amp;DATE(B$3,8+1,1),'Saisie Factures'!D4:D224,"TRAFIC 2",'Saisie Factures'!G4:G224,"Gasoil")</f>
        <v/>
      </c>
      <c r="D28" s="36">
        <f>SUMPRODUCT((MONTH('Saisie Factures'!A4:A224)=8)*(YEAR('Saisie Factures'!A4:A224)=B$3)*('Saisie Factures'!D4:D224="TRAFIC 2")*('Saisie Factures'!G4:G224="Gasoil")*('Saisie Factures'!H4:H224))</f>
        <v/>
      </c>
      <c r="E28" s="37">
        <f>SUMPRODUCT((MONTH('Saisie Factures'!A4:A224)=8)*(YEAR('Saisie Factures'!A4:A224)=B$3)*('Saisie Factures'!D4:D224="TRAFIC 2")*('Saisie Factures'!G4:G224="Gasoil")*('Saisie Factures'!J4:J224))</f>
        <v/>
      </c>
      <c r="F28" s="36">
        <f>SUMPRODUCT((MONTH('Saisie Factures'!A4:A224)=8)*(YEAR('Saisie Factures'!A4:A224)=B$3)*('Saisie Factures'!D4:D224="TRAFIC 2")*('Saisie Factures'!G4:G224="Adblue")*('Saisie Factures'!H4:H224))</f>
        <v/>
      </c>
      <c r="G28" s="37">
        <f>SUMPRODUCT((MONTH('Saisie Factures'!A4:A224)=8)*(YEAR('Saisie Factures'!A4:A224)=B$3)*('Saisie Factures'!D4:D224="TRAFIC 2")*('Saisie Factures'!G4:G224="Adblue")*('Saisie Factures'!J4:J224))</f>
        <v/>
      </c>
    </row>
    <row r="29">
      <c r="A29" s="24" t="inlineStr">
        <is>
          <t>Août</t>
        </is>
      </c>
      <c r="B29" s="25" t="inlineStr">
        <is>
          <t>SPRINTER 1</t>
        </is>
      </c>
      <c r="C29" s="25">
        <f>COUNTIFS('Saisie Factures'!A4:A224,"&gt;="&amp;DATE(B$3,8,1),'Saisie Factures'!A4:A224,"&lt;"&amp;DATE(B$3,8+1,1),'Saisie Factures'!D4:D224,"SPRINTER 1",'Saisie Factures'!G4:G224,"Gasoil")</f>
        <v/>
      </c>
      <c r="D29" s="26">
        <f>SUMPRODUCT((MONTH('Saisie Factures'!A4:A224)=8)*(YEAR('Saisie Factures'!A4:A224)=B$3)*('Saisie Factures'!D4:D224="SPRINTER 1")*('Saisie Factures'!G4:G224="Gasoil")*('Saisie Factures'!H4:H224))</f>
        <v/>
      </c>
      <c r="E29" s="27">
        <f>SUMPRODUCT((MONTH('Saisie Factures'!A4:A224)=8)*(YEAR('Saisie Factures'!A4:A224)=B$3)*('Saisie Factures'!D4:D224="SPRINTER 1")*('Saisie Factures'!G4:G224="Gasoil")*('Saisie Factures'!J4:J224))</f>
        <v/>
      </c>
      <c r="F29" s="26">
        <f>SUMPRODUCT((MONTH('Saisie Factures'!A4:A224)=8)*(YEAR('Saisie Factures'!A4:A224)=B$3)*('Saisie Factures'!D4:D224="SPRINTER 1")*('Saisie Factures'!G4:G224="Adblue")*('Saisie Factures'!H4:H224))</f>
        <v/>
      </c>
      <c r="G29" s="27">
        <f>SUMPRODUCT((MONTH('Saisie Factures'!A4:A224)=8)*(YEAR('Saisie Factures'!A4:A224)=B$3)*('Saisie Factures'!D4:D224="SPRINTER 1")*('Saisie Factures'!G4:G224="Adblue")*('Saisie Factures'!J4:J224))</f>
        <v/>
      </c>
    </row>
    <row r="30">
      <c r="A30" s="34" t="inlineStr">
        <is>
          <t>Septembre</t>
        </is>
      </c>
      <c r="B30" s="35" t="inlineStr">
        <is>
          <t>TRAFIC 1</t>
        </is>
      </c>
      <c r="C30" s="35">
        <f>COUNTIFS('Saisie Factures'!A4:A224,"&gt;="&amp;DATE(B$3,9,1),'Saisie Factures'!A4:A224,"&lt;"&amp;DATE(B$3,9+1,1),'Saisie Factures'!D4:D224,"TRAFIC 1",'Saisie Factures'!G4:G224,"Gasoil")</f>
        <v/>
      </c>
      <c r="D30" s="36">
        <f>SUMPRODUCT((MONTH('Saisie Factures'!A4:A224)=9)*(YEAR('Saisie Factures'!A4:A224)=B$3)*('Saisie Factures'!D4:D224="TRAFIC 1")*('Saisie Factures'!G4:G224="Gasoil")*('Saisie Factures'!H4:H224))</f>
        <v/>
      </c>
      <c r="E30" s="37">
        <f>SUMPRODUCT((MONTH('Saisie Factures'!A4:A224)=9)*(YEAR('Saisie Factures'!A4:A224)=B$3)*('Saisie Factures'!D4:D224="TRAFIC 1")*('Saisie Factures'!G4:G224="Gasoil")*('Saisie Factures'!J4:J224))</f>
        <v/>
      </c>
      <c r="F30" s="36">
        <f>SUMPRODUCT((MONTH('Saisie Factures'!A4:A224)=9)*(YEAR('Saisie Factures'!A4:A224)=B$3)*('Saisie Factures'!D4:D224="TRAFIC 1")*('Saisie Factures'!G4:G224="Adblue")*('Saisie Factures'!H4:H224))</f>
        <v/>
      </c>
      <c r="G30" s="37">
        <f>SUMPRODUCT((MONTH('Saisie Factures'!A4:A224)=9)*(YEAR('Saisie Factures'!A4:A224)=B$3)*('Saisie Factures'!D4:D224="TRAFIC 1")*('Saisie Factures'!G4:G224="Adblue")*('Saisie Factures'!J4:J224))</f>
        <v/>
      </c>
    </row>
    <row r="31">
      <c r="A31" s="24" t="inlineStr">
        <is>
          <t>Septembre</t>
        </is>
      </c>
      <c r="B31" s="25" t="inlineStr">
        <is>
          <t>TRAFIC 2</t>
        </is>
      </c>
      <c r="C31" s="25">
        <f>COUNTIFS('Saisie Factures'!A4:A224,"&gt;="&amp;DATE(B$3,9,1),'Saisie Factures'!A4:A224,"&lt;"&amp;DATE(B$3,9+1,1),'Saisie Factures'!D4:D224,"TRAFIC 2",'Saisie Factures'!G4:G224,"Gasoil")</f>
        <v/>
      </c>
      <c r="D31" s="26">
        <f>SUMPRODUCT((MONTH('Saisie Factures'!A4:A224)=9)*(YEAR('Saisie Factures'!A4:A224)=B$3)*('Saisie Factures'!D4:D224="TRAFIC 2")*('Saisie Factures'!G4:G224="Gasoil")*('Saisie Factures'!H4:H224))</f>
        <v/>
      </c>
      <c r="E31" s="27">
        <f>SUMPRODUCT((MONTH('Saisie Factures'!A4:A224)=9)*(YEAR('Saisie Factures'!A4:A224)=B$3)*('Saisie Factures'!D4:D224="TRAFIC 2")*('Saisie Factures'!G4:G224="Gasoil")*('Saisie Factures'!J4:J224))</f>
        <v/>
      </c>
      <c r="F31" s="26">
        <f>SUMPRODUCT((MONTH('Saisie Factures'!A4:A224)=9)*(YEAR('Saisie Factures'!A4:A224)=B$3)*('Saisie Factures'!D4:D224="TRAFIC 2")*('Saisie Factures'!G4:G224="Adblue")*('Saisie Factures'!H4:H224))</f>
        <v/>
      </c>
      <c r="G31" s="27">
        <f>SUMPRODUCT((MONTH('Saisie Factures'!A4:A224)=9)*(YEAR('Saisie Factures'!A4:A224)=B$3)*('Saisie Factures'!D4:D224="TRAFIC 2")*('Saisie Factures'!G4:G224="Adblue")*('Saisie Factures'!J4:J224))</f>
        <v/>
      </c>
    </row>
    <row r="32">
      <c r="A32" s="34" t="inlineStr">
        <is>
          <t>Septembre</t>
        </is>
      </c>
      <c r="B32" s="35" t="inlineStr">
        <is>
          <t>SPRINTER 1</t>
        </is>
      </c>
      <c r="C32" s="35">
        <f>COUNTIFS('Saisie Factures'!A4:A224,"&gt;="&amp;DATE(B$3,9,1),'Saisie Factures'!A4:A224,"&lt;"&amp;DATE(B$3,9+1,1),'Saisie Factures'!D4:D224,"SPRINTER 1",'Saisie Factures'!G4:G224,"Gasoil")</f>
        <v/>
      </c>
      <c r="D32" s="36">
        <f>SUMPRODUCT((MONTH('Saisie Factures'!A4:A224)=9)*(YEAR('Saisie Factures'!A4:A224)=B$3)*('Saisie Factures'!D4:D224="SPRINTER 1")*('Saisie Factures'!G4:G224="Gasoil")*('Saisie Factures'!H4:H224))</f>
        <v/>
      </c>
      <c r="E32" s="37">
        <f>SUMPRODUCT((MONTH('Saisie Factures'!A4:A224)=9)*(YEAR('Saisie Factures'!A4:A224)=B$3)*('Saisie Factures'!D4:D224="SPRINTER 1")*('Saisie Factures'!G4:G224="Gasoil")*('Saisie Factures'!J4:J224))</f>
        <v/>
      </c>
      <c r="F32" s="36">
        <f>SUMPRODUCT((MONTH('Saisie Factures'!A4:A224)=9)*(YEAR('Saisie Factures'!A4:A224)=B$3)*('Saisie Factures'!D4:D224="SPRINTER 1")*('Saisie Factures'!G4:G224="Adblue")*('Saisie Factures'!H4:H224))</f>
        <v/>
      </c>
      <c r="G32" s="37">
        <f>SUMPRODUCT((MONTH('Saisie Factures'!A4:A224)=9)*(YEAR('Saisie Factures'!A4:A224)=B$3)*('Saisie Factures'!D4:D224="SPRINTER 1")*('Saisie Factures'!G4:G224="Adblue")*('Saisie Factures'!J4:J224))</f>
        <v/>
      </c>
    </row>
    <row r="33">
      <c r="A33" s="24" t="inlineStr">
        <is>
          <t>Octobre</t>
        </is>
      </c>
      <c r="B33" s="25" t="inlineStr">
        <is>
          <t>TRAFIC 1</t>
        </is>
      </c>
      <c r="C33" s="25">
        <f>COUNTIFS('Saisie Factures'!A4:A224,"&gt;="&amp;DATE(B$3,10,1),'Saisie Factures'!A4:A224,"&lt;"&amp;DATE(B$3,10+1,1),'Saisie Factures'!D4:D224,"TRAFIC 1",'Saisie Factures'!G4:G224,"Gasoil")</f>
        <v/>
      </c>
      <c r="D33" s="26">
        <f>SUMPRODUCT((MONTH('Saisie Factures'!A4:A224)=10)*(YEAR('Saisie Factures'!A4:A224)=B$3)*('Saisie Factures'!D4:D224="TRAFIC 1")*('Saisie Factures'!G4:G224="Gasoil")*('Saisie Factures'!H4:H224))</f>
        <v/>
      </c>
      <c r="E33" s="27">
        <f>SUMPRODUCT((MONTH('Saisie Factures'!A4:A224)=10)*(YEAR('Saisie Factures'!A4:A224)=B$3)*('Saisie Factures'!D4:D224="TRAFIC 1")*('Saisie Factures'!G4:G224="Gasoil")*('Saisie Factures'!J4:J224))</f>
        <v/>
      </c>
      <c r="F33" s="26">
        <f>SUMPRODUCT((MONTH('Saisie Factures'!A4:A224)=10)*(YEAR('Saisie Factures'!A4:A224)=B$3)*('Saisie Factures'!D4:D224="TRAFIC 1")*('Saisie Factures'!G4:G224="Adblue")*('Saisie Factures'!H4:H224))</f>
        <v/>
      </c>
      <c r="G33" s="27">
        <f>SUMPRODUCT((MONTH('Saisie Factures'!A4:A224)=10)*(YEAR('Saisie Factures'!A4:A224)=B$3)*('Saisie Factures'!D4:D224="TRAFIC 1")*('Saisie Factures'!G4:G224="Adblue")*('Saisie Factures'!J4:J224))</f>
        <v/>
      </c>
    </row>
    <row r="34">
      <c r="A34" s="34" t="inlineStr">
        <is>
          <t>Octobre</t>
        </is>
      </c>
      <c r="B34" s="35" t="inlineStr">
        <is>
          <t>TRAFIC 2</t>
        </is>
      </c>
      <c r="C34" s="35">
        <f>COUNTIFS('Saisie Factures'!A4:A224,"&gt;="&amp;DATE(B$3,10,1),'Saisie Factures'!A4:A224,"&lt;"&amp;DATE(B$3,10+1,1),'Saisie Factures'!D4:D224,"TRAFIC 2",'Saisie Factures'!G4:G224,"Gasoil")</f>
        <v/>
      </c>
      <c r="D34" s="36">
        <f>SUMPRODUCT((MONTH('Saisie Factures'!A4:A224)=10)*(YEAR('Saisie Factures'!A4:A224)=B$3)*('Saisie Factures'!D4:D224="TRAFIC 2")*('Saisie Factures'!G4:G224="Gasoil")*('Saisie Factures'!H4:H224))</f>
        <v/>
      </c>
      <c r="E34" s="37">
        <f>SUMPRODUCT((MONTH('Saisie Factures'!A4:A224)=10)*(YEAR('Saisie Factures'!A4:A224)=B$3)*('Saisie Factures'!D4:D224="TRAFIC 2")*('Saisie Factures'!G4:G224="Gasoil")*('Saisie Factures'!J4:J224))</f>
        <v/>
      </c>
      <c r="F34" s="36">
        <f>SUMPRODUCT((MONTH('Saisie Factures'!A4:A224)=10)*(YEAR('Saisie Factures'!A4:A224)=B$3)*('Saisie Factures'!D4:D224="TRAFIC 2")*('Saisie Factures'!G4:G224="Adblue")*('Saisie Factures'!H4:H224))</f>
        <v/>
      </c>
      <c r="G34" s="37">
        <f>SUMPRODUCT((MONTH('Saisie Factures'!A4:A224)=10)*(YEAR('Saisie Factures'!A4:A224)=B$3)*('Saisie Factures'!D4:D224="TRAFIC 2")*('Saisie Factures'!G4:G224="Adblue")*('Saisie Factures'!J4:J224))</f>
        <v/>
      </c>
    </row>
    <row r="35">
      <c r="A35" s="24" t="inlineStr">
        <is>
          <t>Octobre</t>
        </is>
      </c>
      <c r="B35" s="25" t="inlineStr">
        <is>
          <t>SPRINTER 1</t>
        </is>
      </c>
      <c r="C35" s="25">
        <f>COUNTIFS('Saisie Factures'!A4:A224,"&gt;="&amp;DATE(B$3,10,1),'Saisie Factures'!A4:A224,"&lt;"&amp;DATE(B$3,10+1,1),'Saisie Factures'!D4:D224,"SPRINTER 1",'Saisie Factures'!G4:G224,"Gasoil")</f>
        <v/>
      </c>
      <c r="D35" s="26">
        <f>SUMPRODUCT((MONTH('Saisie Factures'!A4:A224)=10)*(YEAR('Saisie Factures'!A4:A224)=B$3)*('Saisie Factures'!D4:D224="SPRINTER 1")*('Saisie Factures'!G4:G224="Gasoil")*('Saisie Factures'!H4:H224))</f>
        <v/>
      </c>
      <c r="E35" s="27">
        <f>SUMPRODUCT((MONTH('Saisie Factures'!A4:A224)=10)*(YEAR('Saisie Factures'!A4:A224)=B$3)*('Saisie Factures'!D4:D224="SPRINTER 1")*('Saisie Factures'!G4:G224="Gasoil")*('Saisie Factures'!J4:J224))</f>
        <v/>
      </c>
      <c r="F35" s="26">
        <f>SUMPRODUCT((MONTH('Saisie Factures'!A4:A224)=10)*(YEAR('Saisie Factures'!A4:A224)=B$3)*('Saisie Factures'!D4:D224="SPRINTER 1")*('Saisie Factures'!G4:G224="Adblue")*('Saisie Factures'!H4:H224))</f>
        <v/>
      </c>
      <c r="G35" s="27">
        <f>SUMPRODUCT((MONTH('Saisie Factures'!A4:A224)=10)*(YEAR('Saisie Factures'!A4:A224)=B$3)*('Saisie Factures'!D4:D224="SPRINTER 1")*('Saisie Factures'!G4:G224="Adblue")*('Saisie Factures'!J4:J224))</f>
        <v/>
      </c>
    </row>
    <row r="36">
      <c r="A36" s="34" t="inlineStr">
        <is>
          <t>Novembre</t>
        </is>
      </c>
      <c r="B36" s="35" t="inlineStr">
        <is>
          <t>TRAFIC 1</t>
        </is>
      </c>
      <c r="C36" s="35">
        <f>COUNTIFS('Saisie Factures'!A4:A224,"&gt;="&amp;DATE(B$3,11,1),'Saisie Factures'!A4:A224,"&lt;"&amp;DATE(B$3,11+1,1),'Saisie Factures'!D4:D224,"TRAFIC 1",'Saisie Factures'!G4:G224,"Gasoil")</f>
        <v/>
      </c>
      <c r="D36" s="36">
        <f>SUMPRODUCT((MONTH('Saisie Factures'!A4:A224)=11)*(YEAR('Saisie Factures'!A4:A224)=B$3)*('Saisie Factures'!D4:D224="TRAFIC 1")*('Saisie Factures'!G4:G224="Gasoil")*('Saisie Factures'!H4:H224))</f>
        <v/>
      </c>
      <c r="E36" s="37">
        <f>SUMPRODUCT((MONTH('Saisie Factures'!A4:A224)=11)*(YEAR('Saisie Factures'!A4:A224)=B$3)*('Saisie Factures'!D4:D224="TRAFIC 1")*('Saisie Factures'!G4:G224="Gasoil")*('Saisie Factures'!J4:J224))</f>
        <v/>
      </c>
      <c r="F36" s="36">
        <f>SUMPRODUCT((MONTH('Saisie Factures'!A4:A224)=11)*(YEAR('Saisie Factures'!A4:A224)=B$3)*('Saisie Factures'!D4:D224="TRAFIC 1")*('Saisie Factures'!G4:G224="Adblue")*('Saisie Factures'!H4:H224))</f>
        <v/>
      </c>
      <c r="G36" s="37">
        <f>SUMPRODUCT((MONTH('Saisie Factures'!A4:A224)=11)*(YEAR('Saisie Factures'!A4:A224)=B$3)*('Saisie Factures'!D4:D224="TRAFIC 1")*('Saisie Factures'!G4:G224="Adblue")*('Saisie Factures'!J4:J224))</f>
        <v/>
      </c>
    </row>
    <row r="37">
      <c r="A37" s="24" t="inlineStr">
        <is>
          <t>Novembre</t>
        </is>
      </c>
      <c r="B37" s="25" t="inlineStr">
        <is>
          <t>TRAFIC 2</t>
        </is>
      </c>
      <c r="C37" s="25">
        <f>COUNTIFS('Saisie Factures'!A4:A224,"&gt;="&amp;DATE(B$3,11,1),'Saisie Factures'!A4:A224,"&lt;"&amp;DATE(B$3,11+1,1),'Saisie Factures'!D4:D224,"TRAFIC 2",'Saisie Factures'!G4:G224,"Gasoil")</f>
        <v/>
      </c>
      <c r="D37" s="26">
        <f>SUMPRODUCT((MONTH('Saisie Factures'!A4:A224)=11)*(YEAR('Saisie Factures'!A4:A224)=B$3)*('Saisie Factures'!D4:D224="TRAFIC 2")*('Saisie Factures'!G4:G224="Gasoil")*('Saisie Factures'!H4:H224))</f>
        <v/>
      </c>
      <c r="E37" s="27">
        <f>SUMPRODUCT((MONTH('Saisie Factures'!A4:A224)=11)*(YEAR('Saisie Factures'!A4:A224)=B$3)*('Saisie Factures'!D4:D224="TRAFIC 2")*('Saisie Factures'!G4:G224="Gasoil")*('Saisie Factures'!J4:J224))</f>
        <v/>
      </c>
      <c r="F37" s="26">
        <f>SUMPRODUCT((MONTH('Saisie Factures'!A4:A224)=11)*(YEAR('Saisie Factures'!A4:A224)=B$3)*('Saisie Factures'!D4:D224="TRAFIC 2")*('Saisie Factures'!G4:G224="Adblue")*('Saisie Factures'!H4:H224))</f>
        <v/>
      </c>
      <c r="G37" s="27">
        <f>SUMPRODUCT((MONTH('Saisie Factures'!A4:A224)=11)*(YEAR('Saisie Factures'!A4:A224)=B$3)*('Saisie Factures'!D4:D224="TRAFIC 2")*('Saisie Factures'!G4:G224="Adblue")*('Saisie Factures'!J4:J224))</f>
        <v/>
      </c>
    </row>
    <row r="38">
      <c r="A38" s="34" t="inlineStr">
        <is>
          <t>Novembre</t>
        </is>
      </c>
      <c r="B38" s="35" t="inlineStr">
        <is>
          <t>SPRINTER 1</t>
        </is>
      </c>
      <c r="C38" s="35">
        <f>COUNTIFS('Saisie Factures'!A4:A224,"&gt;="&amp;DATE(B$3,11,1),'Saisie Factures'!A4:A224,"&lt;"&amp;DATE(B$3,11+1,1),'Saisie Factures'!D4:D224,"SPRINTER 1",'Saisie Factures'!G4:G224,"Gasoil")</f>
        <v/>
      </c>
      <c r="D38" s="36">
        <f>SUMPRODUCT((MONTH('Saisie Factures'!A4:A224)=11)*(YEAR('Saisie Factures'!A4:A224)=B$3)*('Saisie Factures'!D4:D224="SPRINTER 1")*('Saisie Factures'!G4:G224="Gasoil")*('Saisie Factures'!H4:H224))</f>
        <v/>
      </c>
      <c r="E38" s="37">
        <f>SUMPRODUCT((MONTH('Saisie Factures'!A4:A224)=11)*(YEAR('Saisie Factures'!A4:A224)=B$3)*('Saisie Factures'!D4:D224="SPRINTER 1")*('Saisie Factures'!G4:G224="Gasoil")*('Saisie Factures'!J4:J224))</f>
        <v/>
      </c>
      <c r="F38" s="36">
        <f>SUMPRODUCT((MONTH('Saisie Factures'!A4:A224)=11)*(YEAR('Saisie Factures'!A4:A224)=B$3)*('Saisie Factures'!D4:D224="SPRINTER 1")*('Saisie Factures'!G4:G224="Adblue")*('Saisie Factures'!H4:H224))</f>
        <v/>
      </c>
      <c r="G38" s="37">
        <f>SUMPRODUCT((MONTH('Saisie Factures'!A4:A224)=11)*(YEAR('Saisie Factures'!A4:A224)=B$3)*('Saisie Factures'!D4:D224="SPRINTER 1")*('Saisie Factures'!G4:G224="Adblue")*('Saisie Factures'!J4:J224))</f>
        <v/>
      </c>
    </row>
    <row r="39">
      <c r="A39" s="24" t="inlineStr">
        <is>
          <t>Décembre</t>
        </is>
      </c>
      <c r="B39" s="25" t="inlineStr">
        <is>
          <t>TRAFIC 1</t>
        </is>
      </c>
      <c r="C39" s="25">
        <f>COUNTIFS('Saisie Factures'!A4:A224,"&gt;="&amp;DATE(B$3,12,1),'Saisie Factures'!A4:A224,"&lt;"&amp;DATE(B$3,12+1,1),'Saisie Factures'!D4:D224,"TRAFIC 1",'Saisie Factures'!G4:G224,"Gasoil")</f>
        <v/>
      </c>
      <c r="D39" s="26">
        <f>SUMPRODUCT((MONTH('Saisie Factures'!A4:A224)=12)*(YEAR('Saisie Factures'!A4:A224)=B$3)*('Saisie Factures'!D4:D224="TRAFIC 1")*('Saisie Factures'!G4:G224="Gasoil")*('Saisie Factures'!H4:H224))</f>
        <v/>
      </c>
      <c r="E39" s="27">
        <f>SUMPRODUCT((MONTH('Saisie Factures'!A4:A224)=12)*(YEAR('Saisie Factures'!A4:A224)=B$3)*('Saisie Factures'!D4:D224="TRAFIC 1")*('Saisie Factures'!G4:G224="Gasoil")*('Saisie Factures'!J4:J224))</f>
        <v/>
      </c>
      <c r="F39" s="26">
        <f>SUMPRODUCT((MONTH('Saisie Factures'!A4:A224)=12)*(YEAR('Saisie Factures'!A4:A224)=B$3)*('Saisie Factures'!D4:D224="TRAFIC 1")*('Saisie Factures'!G4:G224="Adblue")*('Saisie Factures'!H4:H224))</f>
        <v/>
      </c>
      <c r="G39" s="27">
        <f>SUMPRODUCT((MONTH('Saisie Factures'!A4:A224)=12)*(YEAR('Saisie Factures'!A4:A224)=B$3)*('Saisie Factures'!D4:D224="TRAFIC 1")*('Saisie Factures'!G4:G224="Adblue")*('Saisie Factures'!J4:J224))</f>
        <v/>
      </c>
    </row>
    <row r="40">
      <c r="A40" s="34" t="inlineStr">
        <is>
          <t>Décembre</t>
        </is>
      </c>
      <c r="B40" s="35" t="inlineStr">
        <is>
          <t>TRAFIC 2</t>
        </is>
      </c>
      <c r="C40" s="35">
        <f>COUNTIFS('Saisie Factures'!A4:A224,"&gt;="&amp;DATE(B$3,12,1),'Saisie Factures'!A4:A224,"&lt;"&amp;DATE(B$3,12+1,1),'Saisie Factures'!D4:D224,"TRAFIC 2",'Saisie Factures'!G4:G224,"Gasoil")</f>
        <v/>
      </c>
      <c r="D40" s="36">
        <f>SUMPRODUCT((MONTH('Saisie Factures'!A4:A224)=12)*(YEAR('Saisie Factures'!A4:A224)=B$3)*('Saisie Factures'!D4:D224="TRAFIC 2")*('Saisie Factures'!G4:G224="Gasoil")*('Saisie Factures'!H4:H224))</f>
        <v/>
      </c>
      <c r="E40" s="37">
        <f>SUMPRODUCT((MONTH('Saisie Factures'!A4:A224)=12)*(YEAR('Saisie Factures'!A4:A224)=B$3)*('Saisie Factures'!D4:D224="TRAFIC 2")*('Saisie Factures'!G4:G224="Gasoil")*('Saisie Factures'!J4:J224))</f>
        <v/>
      </c>
      <c r="F40" s="36">
        <f>SUMPRODUCT((MONTH('Saisie Factures'!A4:A224)=12)*(YEAR('Saisie Factures'!A4:A224)=B$3)*('Saisie Factures'!D4:D224="TRAFIC 2")*('Saisie Factures'!G4:G224="Adblue")*('Saisie Factures'!H4:H224))</f>
        <v/>
      </c>
      <c r="G40" s="37">
        <f>SUMPRODUCT((MONTH('Saisie Factures'!A4:A224)=12)*(YEAR('Saisie Factures'!A4:A224)=B$3)*('Saisie Factures'!D4:D224="TRAFIC 2")*('Saisie Factures'!G4:G224="Adblue")*('Saisie Factures'!J4:J224))</f>
        <v/>
      </c>
    </row>
    <row r="41">
      <c r="A41" s="24" t="inlineStr">
        <is>
          <t>Décembre</t>
        </is>
      </c>
      <c r="B41" s="25" t="inlineStr">
        <is>
          <t>SPRINTER 1</t>
        </is>
      </c>
      <c r="C41" s="25">
        <f>COUNTIFS('Saisie Factures'!A4:A224,"&gt;="&amp;DATE(B$3,12,1),'Saisie Factures'!A4:A224,"&lt;"&amp;DATE(B$3,12+1,1),'Saisie Factures'!D4:D224,"SPRINTER 1",'Saisie Factures'!G4:G224,"Gasoil")</f>
        <v/>
      </c>
      <c r="D41" s="26">
        <f>SUMPRODUCT((MONTH('Saisie Factures'!A4:A224)=12)*(YEAR('Saisie Factures'!A4:A224)=B$3)*('Saisie Factures'!D4:D224="SPRINTER 1")*('Saisie Factures'!G4:G224="Gasoil")*('Saisie Factures'!H4:H224))</f>
        <v/>
      </c>
      <c r="E41" s="27">
        <f>SUMPRODUCT((MONTH('Saisie Factures'!A4:A224)=12)*(YEAR('Saisie Factures'!A4:A224)=B$3)*('Saisie Factures'!D4:D224="SPRINTER 1")*('Saisie Factures'!G4:G224="Gasoil")*('Saisie Factures'!J4:J224))</f>
        <v/>
      </c>
      <c r="F41" s="26">
        <f>SUMPRODUCT((MONTH('Saisie Factures'!A4:A224)=12)*(YEAR('Saisie Factures'!A4:A224)=B$3)*('Saisie Factures'!D4:D224="SPRINTER 1")*('Saisie Factures'!G4:G224="Adblue")*('Saisie Factures'!H4:H224))</f>
        <v/>
      </c>
      <c r="G41" s="27">
        <f>SUMPRODUCT((MONTH('Saisie Factures'!A4:A224)=12)*(YEAR('Saisie Factures'!A4:A224)=B$3)*('Saisie Factures'!D4:D224="SPRINTER 1")*('Saisie Factures'!G4:G224="Adblue")*('Saisie Factures'!J4:J224))</f>
        <v/>
      </c>
    </row>
  </sheetData>
  <mergeCells count="1">
    <mergeCell ref="A1:G1"/>
  </mergeCells>
  <pageMargins left="0.75" right="0.75" top="1" bottom="1" header="0.5" footer="0.5"/>
</worksheet>
</file>

<file path=xl/worksheets/sheet4.xml><?xml version="1.0" encoding="utf-8"?>
<worksheet xmlns="http://schemas.openxmlformats.org/spreadsheetml/2006/main">
  <sheetPr>
    <tabColor rgb="00C00000"/>
    <outlinePr summaryBelow="1" summaryRight="1"/>
    <pageSetUpPr/>
  </sheetPr>
  <dimension ref="A1:F29"/>
  <sheetViews>
    <sheetView workbookViewId="0">
      <pane ySplit="5" topLeftCell="A6" activePane="bottomLeft" state="frozen"/>
      <selection pane="bottomLeft" activeCell="A1" sqref="A1"/>
    </sheetView>
  </sheetViews>
  <sheetFormatPr baseColWidth="8" defaultRowHeight="15"/>
  <cols>
    <col width="16" customWidth="1" min="1" max="1"/>
    <col width="18" customWidth="1" min="2" max="2"/>
    <col width="12" customWidth="1" min="3" max="3"/>
    <col width="16" customWidth="1" min="4" max="4"/>
    <col width="18" customWidth="1" min="5" max="5"/>
    <col width="16" customWidth="1" min="6" max="6"/>
  </cols>
  <sheetData>
    <row r="1" ht="40" customHeight="1">
      <c r="A1" s="38" t="inlineStr">
        <is>
          <t>RÉCAPITULATIF PAR QUINZAINE — AMB TRANSPORTS 69</t>
        </is>
      </c>
    </row>
    <row r="3">
      <c r="A3" s="16" t="inlineStr">
        <is>
          <t>Année :</t>
        </is>
      </c>
      <c r="B3" t="n">
        <v>2026</v>
      </c>
    </row>
    <row r="5">
      <c r="A5" s="39" t="inlineStr">
        <is>
          <t>Mois</t>
        </is>
      </c>
      <c r="B5" s="39" t="inlineStr">
        <is>
          <t>Quinzaine</t>
        </is>
      </c>
      <c r="C5" s="39" t="inlineStr">
        <is>
          <t>Nb Pleins</t>
        </is>
      </c>
      <c r="D5" s="39" t="inlineStr">
        <is>
          <t>Litres Gasoil</t>
        </is>
      </c>
      <c r="E5" s="39" t="inlineStr">
        <is>
          <t>Dépense Gasoil (€)</t>
        </is>
      </c>
      <c r="F5" s="39" t="inlineStr">
        <is>
          <t>Prix Moyen/L</t>
        </is>
      </c>
    </row>
    <row r="6">
      <c r="A6" s="40" t="inlineStr">
        <is>
          <t>Janvier</t>
        </is>
      </c>
      <c r="B6" s="41" t="inlineStr">
        <is>
          <t>1ère quinzaine</t>
        </is>
      </c>
      <c r="C6" s="41">
        <f>COUNTIFS('Saisie Factures'!A4:A224,"&gt;="&amp;DATE(B$3,1,1),'Saisie Factures'!A4:A224,"&lt;"&amp;DATE(B$3,1+1,1),'Saisie Factures'!B4:B224,"1ère quinzaine",'Saisie Factures'!G4:G224,"Gasoil")</f>
        <v/>
      </c>
      <c r="D6" s="42">
        <f>SUMPRODUCT((MONTH('Saisie Factures'!A4:A224)=1)*(YEAR('Saisie Factures'!A4:A224)=B$3)*('Saisie Factures'!B4:B224="1ère quinzaine")*('Saisie Factures'!G4:G224="Gasoil")*('Saisie Factures'!H4:H224))</f>
        <v/>
      </c>
      <c r="E6" s="43">
        <f>SUMPRODUCT((MONTH('Saisie Factures'!A4:A224)=1)*(YEAR('Saisie Factures'!A4:A224)=B$3)*('Saisie Factures'!B4:B224="1ère quinzaine")*('Saisie Factures'!G4:G224="Gasoil")*('Saisie Factures'!J4:J224))</f>
        <v/>
      </c>
      <c r="F6" s="44">
        <f>IF(D6=0,"",E6/D6)</f>
        <v/>
      </c>
    </row>
    <row r="7">
      <c r="A7" s="24" t="inlineStr">
        <is>
          <t>Janvier</t>
        </is>
      </c>
      <c r="B7" s="25" t="inlineStr">
        <is>
          <t>2ème quinzaine</t>
        </is>
      </c>
      <c r="C7" s="25">
        <f>COUNTIFS('Saisie Factures'!A4:A224,"&gt;="&amp;DATE(B$3,1,1),'Saisie Factures'!A4:A224,"&lt;"&amp;DATE(B$3,1+1,1),'Saisie Factures'!B4:B224,"2ème quinzaine",'Saisie Factures'!G4:G224,"Gasoil")</f>
        <v/>
      </c>
      <c r="D7" s="26">
        <f>SUMPRODUCT((MONTH('Saisie Factures'!A4:A224)=1)*(YEAR('Saisie Factures'!A4:A224)=B$3)*('Saisie Factures'!B4:B224="2ème quinzaine")*('Saisie Factures'!G4:G224="Gasoil")*('Saisie Factures'!H4:H224))</f>
        <v/>
      </c>
      <c r="E7" s="27">
        <f>SUMPRODUCT((MONTH('Saisie Factures'!A4:A224)=1)*(YEAR('Saisie Factures'!A4:A224)=B$3)*('Saisie Factures'!B4:B224="2ème quinzaine")*('Saisie Factures'!G4:G224="Gasoil")*('Saisie Factures'!J4:J224))</f>
        <v/>
      </c>
      <c r="F7" s="28">
        <f>IF(D7=0,"",E7/D7)</f>
        <v/>
      </c>
    </row>
    <row r="8">
      <c r="A8" s="40" t="inlineStr">
        <is>
          <t>Février</t>
        </is>
      </c>
      <c r="B8" s="41" t="inlineStr">
        <is>
          <t>1ère quinzaine</t>
        </is>
      </c>
      <c r="C8" s="41">
        <f>COUNTIFS('Saisie Factures'!A4:A224,"&gt;="&amp;DATE(B$3,2,1),'Saisie Factures'!A4:A224,"&lt;"&amp;DATE(B$3,2+1,1),'Saisie Factures'!B4:B224,"1ère quinzaine",'Saisie Factures'!G4:G224,"Gasoil")</f>
        <v/>
      </c>
      <c r="D8" s="42">
        <f>SUMPRODUCT((MONTH('Saisie Factures'!A4:A224)=2)*(YEAR('Saisie Factures'!A4:A224)=B$3)*('Saisie Factures'!B4:B224="1ère quinzaine")*('Saisie Factures'!G4:G224="Gasoil")*('Saisie Factures'!H4:H224))</f>
        <v/>
      </c>
      <c r="E8" s="43">
        <f>SUMPRODUCT((MONTH('Saisie Factures'!A4:A224)=2)*(YEAR('Saisie Factures'!A4:A224)=B$3)*('Saisie Factures'!B4:B224="1ère quinzaine")*('Saisie Factures'!G4:G224="Gasoil")*('Saisie Factures'!J4:J224))</f>
        <v/>
      </c>
      <c r="F8" s="44">
        <f>IF(D8=0,"",E8/D8)</f>
        <v/>
      </c>
    </row>
    <row r="9">
      <c r="A9" s="24" t="inlineStr">
        <is>
          <t>Février</t>
        </is>
      </c>
      <c r="B9" s="25" t="inlineStr">
        <is>
          <t>2ème quinzaine</t>
        </is>
      </c>
      <c r="C9" s="25">
        <f>COUNTIFS('Saisie Factures'!A4:A224,"&gt;="&amp;DATE(B$3,2,1),'Saisie Factures'!A4:A224,"&lt;"&amp;DATE(B$3,2+1,1),'Saisie Factures'!B4:B224,"2ème quinzaine",'Saisie Factures'!G4:G224,"Gasoil")</f>
        <v/>
      </c>
      <c r="D9" s="26">
        <f>SUMPRODUCT((MONTH('Saisie Factures'!A4:A224)=2)*(YEAR('Saisie Factures'!A4:A224)=B$3)*('Saisie Factures'!B4:B224="2ème quinzaine")*('Saisie Factures'!G4:G224="Gasoil")*('Saisie Factures'!H4:H224))</f>
        <v/>
      </c>
      <c r="E9" s="27">
        <f>SUMPRODUCT((MONTH('Saisie Factures'!A4:A224)=2)*(YEAR('Saisie Factures'!A4:A224)=B$3)*('Saisie Factures'!B4:B224="2ème quinzaine")*('Saisie Factures'!G4:G224="Gasoil")*('Saisie Factures'!J4:J224))</f>
        <v/>
      </c>
      <c r="F9" s="28">
        <f>IF(D9=0,"",E9/D9)</f>
        <v/>
      </c>
    </row>
    <row r="10">
      <c r="A10" s="40" t="inlineStr">
        <is>
          <t>Mars</t>
        </is>
      </c>
      <c r="B10" s="41" t="inlineStr">
        <is>
          <t>1ère quinzaine</t>
        </is>
      </c>
      <c r="C10" s="41">
        <f>COUNTIFS('Saisie Factures'!A4:A224,"&gt;="&amp;DATE(B$3,3,1),'Saisie Factures'!A4:A224,"&lt;"&amp;DATE(B$3,3+1,1),'Saisie Factures'!B4:B224,"1ère quinzaine",'Saisie Factures'!G4:G224,"Gasoil")</f>
        <v/>
      </c>
      <c r="D10" s="42">
        <f>SUMPRODUCT((MONTH('Saisie Factures'!A4:A224)=3)*(YEAR('Saisie Factures'!A4:A224)=B$3)*('Saisie Factures'!B4:B224="1ère quinzaine")*('Saisie Factures'!G4:G224="Gasoil")*('Saisie Factures'!H4:H224))</f>
        <v/>
      </c>
      <c r="E10" s="43">
        <f>SUMPRODUCT((MONTH('Saisie Factures'!A4:A224)=3)*(YEAR('Saisie Factures'!A4:A224)=B$3)*('Saisie Factures'!B4:B224="1ère quinzaine")*('Saisie Factures'!G4:G224="Gasoil")*('Saisie Factures'!J4:J224))</f>
        <v/>
      </c>
      <c r="F10" s="44">
        <f>IF(D10=0,"",E10/D10)</f>
        <v/>
      </c>
    </row>
    <row r="11">
      <c r="A11" s="24" t="inlineStr">
        <is>
          <t>Mars</t>
        </is>
      </c>
      <c r="B11" s="25" t="inlineStr">
        <is>
          <t>2ème quinzaine</t>
        </is>
      </c>
      <c r="C11" s="25">
        <f>COUNTIFS('Saisie Factures'!A4:A224,"&gt;="&amp;DATE(B$3,3,1),'Saisie Factures'!A4:A224,"&lt;"&amp;DATE(B$3,3+1,1),'Saisie Factures'!B4:B224,"2ème quinzaine",'Saisie Factures'!G4:G224,"Gasoil")</f>
        <v/>
      </c>
      <c r="D11" s="26">
        <f>SUMPRODUCT((MONTH('Saisie Factures'!A4:A224)=3)*(YEAR('Saisie Factures'!A4:A224)=B$3)*('Saisie Factures'!B4:B224="2ème quinzaine")*('Saisie Factures'!G4:G224="Gasoil")*('Saisie Factures'!H4:H224))</f>
        <v/>
      </c>
      <c r="E11" s="27">
        <f>SUMPRODUCT((MONTH('Saisie Factures'!A4:A224)=3)*(YEAR('Saisie Factures'!A4:A224)=B$3)*('Saisie Factures'!B4:B224="2ème quinzaine")*('Saisie Factures'!G4:G224="Gasoil")*('Saisie Factures'!J4:J224))</f>
        <v/>
      </c>
      <c r="F11" s="28">
        <f>IF(D11=0,"",E11/D11)</f>
        <v/>
      </c>
    </row>
    <row r="12">
      <c r="A12" s="40" t="inlineStr">
        <is>
          <t>Avril</t>
        </is>
      </c>
      <c r="B12" s="41" t="inlineStr">
        <is>
          <t>1ère quinzaine</t>
        </is>
      </c>
      <c r="C12" s="41">
        <f>COUNTIFS('Saisie Factures'!A4:A224,"&gt;="&amp;DATE(B$3,4,1),'Saisie Factures'!A4:A224,"&lt;"&amp;DATE(B$3,4+1,1),'Saisie Factures'!B4:B224,"1ère quinzaine",'Saisie Factures'!G4:G224,"Gasoil")</f>
        <v/>
      </c>
      <c r="D12" s="42">
        <f>SUMPRODUCT((MONTH('Saisie Factures'!A4:A224)=4)*(YEAR('Saisie Factures'!A4:A224)=B$3)*('Saisie Factures'!B4:B224="1ère quinzaine")*('Saisie Factures'!G4:G224="Gasoil")*('Saisie Factures'!H4:H224))</f>
        <v/>
      </c>
      <c r="E12" s="43">
        <f>SUMPRODUCT((MONTH('Saisie Factures'!A4:A224)=4)*(YEAR('Saisie Factures'!A4:A224)=B$3)*('Saisie Factures'!B4:B224="1ère quinzaine")*('Saisie Factures'!G4:G224="Gasoil")*('Saisie Factures'!J4:J224))</f>
        <v/>
      </c>
      <c r="F12" s="44">
        <f>IF(D12=0,"",E12/D12)</f>
        <v/>
      </c>
    </row>
    <row r="13">
      <c r="A13" s="24" t="inlineStr">
        <is>
          <t>Avril</t>
        </is>
      </c>
      <c r="B13" s="25" t="inlineStr">
        <is>
          <t>2ème quinzaine</t>
        </is>
      </c>
      <c r="C13" s="25">
        <f>COUNTIFS('Saisie Factures'!A4:A224,"&gt;="&amp;DATE(B$3,4,1),'Saisie Factures'!A4:A224,"&lt;"&amp;DATE(B$3,4+1,1),'Saisie Factures'!B4:B224,"2ème quinzaine",'Saisie Factures'!G4:G224,"Gasoil")</f>
        <v/>
      </c>
      <c r="D13" s="26">
        <f>SUMPRODUCT((MONTH('Saisie Factures'!A4:A224)=4)*(YEAR('Saisie Factures'!A4:A224)=B$3)*('Saisie Factures'!B4:B224="2ème quinzaine")*('Saisie Factures'!G4:G224="Gasoil")*('Saisie Factures'!H4:H224))</f>
        <v/>
      </c>
      <c r="E13" s="27">
        <f>SUMPRODUCT((MONTH('Saisie Factures'!A4:A224)=4)*(YEAR('Saisie Factures'!A4:A224)=B$3)*('Saisie Factures'!B4:B224="2ème quinzaine")*('Saisie Factures'!G4:G224="Gasoil")*('Saisie Factures'!J4:J224))</f>
        <v/>
      </c>
      <c r="F13" s="28">
        <f>IF(D13=0,"",E13/D13)</f>
        <v/>
      </c>
    </row>
    <row r="14">
      <c r="A14" s="40" t="inlineStr">
        <is>
          <t>Mai</t>
        </is>
      </c>
      <c r="B14" s="41" t="inlineStr">
        <is>
          <t>1ère quinzaine</t>
        </is>
      </c>
      <c r="C14" s="41">
        <f>COUNTIFS('Saisie Factures'!A4:A224,"&gt;="&amp;DATE(B$3,5,1),'Saisie Factures'!A4:A224,"&lt;"&amp;DATE(B$3,5+1,1),'Saisie Factures'!B4:B224,"1ère quinzaine",'Saisie Factures'!G4:G224,"Gasoil")</f>
        <v/>
      </c>
      <c r="D14" s="42">
        <f>SUMPRODUCT((MONTH('Saisie Factures'!A4:A224)=5)*(YEAR('Saisie Factures'!A4:A224)=B$3)*('Saisie Factures'!B4:B224="1ère quinzaine")*('Saisie Factures'!G4:G224="Gasoil")*('Saisie Factures'!H4:H224))</f>
        <v/>
      </c>
      <c r="E14" s="43">
        <f>SUMPRODUCT((MONTH('Saisie Factures'!A4:A224)=5)*(YEAR('Saisie Factures'!A4:A224)=B$3)*('Saisie Factures'!B4:B224="1ère quinzaine")*('Saisie Factures'!G4:G224="Gasoil")*('Saisie Factures'!J4:J224))</f>
        <v/>
      </c>
      <c r="F14" s="44">
        <f>IF(D14=0,"",E14/D14)</f>
        <v/>
      </c>
    </row>
    <row r="15">
      <c r="A15" s="24" t="inlineStr">
        <is>
          <t>Mai</t>
        </is>
      </c>
      <c r="B15" s="25" t="inlineStr">
        <is>
          <t>2ème quinzaine</t>
        </is>
      </c>
      <c r="C15" s="25">
        <f>COUNTIFS('Saisie Factures'!A4:A224,"&gt;="&amp;DATE(B$3,5,1),'Saisie Factures'!A4:A224,"&lt;"&amp;DATE(B$3,5+1,1),'Saisie Factures'!B4:B224,"2ème quinzaine",'Saisie Factures'!G4:G224,"Gasoil")</f>
        <v/>
      </c>
      <c r="D15" s="26">
        <f>SUMPRODUCT((MONTH('Saisie Factures'!A4:A224)=5)*(YEAR('Saisie Factures'!A4:A224)=B$3)*('Saisie Factures'!B4:B224="2ème quinzaine")*('Saisie Factures'!G4:G224="Gasoil")*('Saisie Factures'!H4:H224))</f>
        <v/>
      </c>
      <c r="E15" s="27">
        <f>SUMPRODUCT((MONTH('Saisie Factures'!A4:A224)=5)*(YEAR('Saisie Factures'!A4:A224)=B$3)*('Saisie Factures'!B4:B224="2ème quinzaine")*('Saisie Factures'!G4:G224="Gasoil")*('Saisie Factures'!J4:J224))</f>
        <v/>
      </c>
      <c r="F15" s="28">
        <f>IF(D15=0,"",E15/D15)</f>
        <v/>
      </c>
    </row>
    <row r="16">
      <c r="A16" s="40" t="inlineStr">
        <is>
          <t>Juin</t>
        </is>
      </c>
      <c r="B16" s="41" t="inlineStr">
        <is>
          <t>1ère quinzaine</t>
        </is>
      </c>
      <c r="C16" s="41">
        <f>COUNTIFS('Saisie Factures'!A4:A224,"&gt;="&amp;DATE(B$3,6,1),'Saisie Factures'!A4:A224,"&lt;"&amp;DATE(B$3,6+1,1),'Saisie Factures'!B4:B224,"1ère quinzaine",'Saisie Factures'!G4:G224,"Gasoil")</f>
        <v/>
      </c>
      <c r="D16" s="42">
        <f>SUMPRODUCT((MONTH('Saisie Factures'!A4:A224)=6)*(YEAR('Saisie Factures'!A4:A224)=B$3)*('Saisie Factures'!B4:B224="1ère quinzaine")*('Saisie Factures'!G4:G224="Gasoil")*('Saisie Factures'!H4:H224))</f>
        <v/>
      </c>
      <c r="E16" s="43">
        <f>SUMPRODUCT((MONTH('Saisie Factures'!A4:A224)=6)*(YEAR('Saisie Factures'!A4:A224)=B$3)*('Saisie Factures'!B4:B224="1ère quinzaine")*('Saisie Factures'!G4:G224="Gasoil")*('Saisie Factures'!J4:J224))</f>
        <v/>
      </c>
      <c r="F16" s="44">
        <f>IF(D16=0,"",E16/D16)</f>
        <v/>
      </c>
    </row>
    <row r="17">
      <c r="A17" s="24" t="inlineStr">
        <is>
          <t>Juin</t>
        </is>
      </c>
      <c r="B17" s="25" t="inlineStr">
        <is>
          <t>2ème quinzaine</t>
        </is>
      </c>
      <c r="C17" s="25">
        <f>COUNTIFS('Saisie Factures'!A4:A224,"&gt;="&amp;DATE(B$3,6,1),'Saisie Factures'!A4:A224,"&lt;"&amp;DATE(B$3,6+1,1),'Saisie Factures'!B4:B224,"2ème quinzaine",'Saisie Factures'!G4:G224,"Gasoil")</f>
        <v/>
      </c>
      <c r="D17" s="26">
        <f>SUMPRODUCT((MONTH('Saisie Factures'!A4:A224)=6)*(YEAR('Saisie Factures'!A4:A224)=B$3)*('Saisie Factures'!B4:B224="2ème quinzaine")*('Saisie Factures'!G4:G224="Gasoil")*('Saisie Factures'!H4:H224))</f>
        <v/>
      </c>
      <c r="E17" s="27">
        <f>SUMPRODUCT((MONTH('Saisie Factures'!A4:A224)=6)*(YEAR('Saisie Factures'!A4:A224)=B$3)*('Saisie Factures'!B4:B224="2ème quinzaine")*('Saisie Factures'!G4:G224="Gasoil")*('Saisie Factures'!J4:J224))</f>
        <v/>
      </c>
      <c r="F17" s="28">
        <f>IF(D17=0,"",E17/D17)</f>
        <v/>
      </c>
    </row>
    <row r="18">
      <c r="A18" s="40" t="inlineStr">
        <is>
          <t>Juillet</t>
        </is>
      </c>
      <c r="B18" s="41" t="inlineStr">
        <is>
          <t>1ère quinzaine</t>
        </is>
      </c>
      <c r="C18" s="41">
        <f>COUNTIFS('Saisie Factures'!A4:A224,"&gt;="&amp;DATE(B$3,7,1),'Saisie Factures'!A4:A224,"&lt;"&amp;DATE(B$3,7+1,1),'Saisie Factures'!B4:B224,"1ère quinzaine",'Saisie Factures'!G4:G224,"Gasoil")</f>
        <v/>
      </c>
      <c r="D18" s="42">
        <f>SUMPRODUCT((MONTH('Saisie Factures'!A4:A224)=7)*(YEAR('Saisie Factures'!A4:A224)=B$3)*('Saisie Factures'!B4:B224="1ère quinzaine")*('Saisie Factures'!G4:G224="Gasoil")*('Saisie Factures'!H4:H224))</f>
        <v/>
      </c>
      <c r="E18" s="43">
        <f>SUMPRODUCT((MONTH('Saisie Factures'!A4:A224)=7)*(YEAR('Saisie Factures'!A4:A224)=B$3)*('Saisie Factures'!B4:B224="1ère quinzaine")*('Saisie Factures'!G4:G224="Gasoil")*('Saisie Factures'!J4:J224))</f>
        <v/>
      </c>
      <c r="F18" s="44">
        <f>IF(D18=0,"",E18/D18)</f>
        <v/>
      </c>
    </row>
    <row r="19">
      <c r="A19" s="24" t="inlineStr">
        <is>
          <t>Juillet</t>
        </is>
      </c>
      <c r="B19" s="25" t="inlineStr">
        <is>
          <t>2ème quinzaine</t>
        </is>
      </c>
      <c r="C19" s="25">
        <f>COUNTIFS('Saisie Factures'!A4:A224,"&gt;="&amp;DATE(B$3,7,1),'Saisie Factures'!A4:A224,"&lt;"&amp;DATE(B$3,7+1,1),'Saisie Factures'!B4:B224,"2ème quinzaine",'Saisie Factures'!G4:G224,"Gasoil")</f>
        <v/>
      </c>
      <c r="D19" s="26">
        <f>SUMPRODUCT((MONTH('Saisie Factures'!A4:A224)=7)*(YEAR('Saisie Factures'!A4:A224)=B$3)*('Saisie Factures'!B4:B224="2ème quinzaine")*('Saisie Factures'!G4:G224="Gasoil")*('Saisie Factures'!H4:H224))</f>
        <v/>
      </c>
      <c r="E19" s="27">
        <f>SUMPRODUCT((MONTH('Saisie Factures'!A4:A224)=7)*(YEAR('Saisie Factures'!A4:A224)=B$3)*('Saisie Factures'!B4:B224="2ème quinzaine")*('Saisie Factures'!G4:G224="Gasoil")*('Saisie Factures'!J4:J224))</f>
        <v/>
      </c>
      <c r="F19" s="28">
        <f>IF(D19=0,"",E19/D19)</f>
        <v/>
      </c>
    </row>
    <row r="20">
      <c r="A20" s="40" t="inlineStr">
        <is>
          <t>Août</t>
        </is>
      </c>
      <c r="B20" s="41" t="inlineStr">
        <is>
          <t>1ère quinzaine</t>
        </is>
      </c>
      <c r="C20" s="41">
        <f>COUNTIFS('Saisie Factures'!A4:A224,"&gt;="&amp;DATE(B$3,8,1),'Saisie Factures'!A4:A224,"&lt;"&amp;DATE(B$3,8+1,1),'Saisie Factures'!B4:B224,"1ère quinzaine",'Saisie Factures'!G4:G224,"Gasoil")</f>
        <v/>
      </c>
      <c r="D20" s="42">
        <f>SUMPRODUCT((MONTH('Saisie Factures'!A4:A224)=8)*(YEAR('Saisie Factures'!A4:A224)=B$3)*('Saisie Factures'!B4:B224="1ère quinzaine")*('Saisie Factures'!G4:G224="Gasoil")*('Saisie Factures'!H4:H224))</f>
        <v/>
      </c>
      <c r="E20" s="43">
        <f>SUMPRODUCT((MONTH('Saisie Factures'!A4:A224)=8)*(YEAR('Saisie Factures'!A4:A224)=B$3)*('Saisie Factures'!B4:B224="1ère quinzaine")*('Saisie Factures'!G4:G224="Gasoil")*('Saisie Factures'!J4:J224))</f>
        <v/>
      </c>
      <c r="F20" s="44">
        <f>IF(D20=0,"",E20/D20)</f>
        <v/>
      </c>
    </row>
    <row r="21">
      <c r="A21" s="24" t="inlineStr">
        <is>
          <t>Août</t>
        </is>
      </c>
      <c r="B21" s="25" t="inlineStr">
        <is>
          <t>2ème quinzaine</t>
        </is>
      </c>
      <c r="C21" s="25">
        <f>COUNTIFS('Saisie Factures'!A4:A224,"&gt;="&amp;DATE(B$3,8,1),'Saisie Factures'!A4:A224,"&lt;"&amp;DATE(B$3,8+1,1),'Saisie Factures'!B4:B224,"2ème quinzaine",'Saisie Factures'!G4:G224,"Gasoil")</f>
        <v/>
      </c>
      <c r="D21" s="26">
        <f>SUMPRODUCT((MONTH('Saisie Factures'!A4:A224)=8)*(YEAR('Saisie Factures'!A4:A224)=B$3)*('Saisie Factures'!B4:B224="2ème quinzaine")*('Saisie Factures'!G4:G224="Gasoil")*('Saisie Factures'!H4:H224))</f>
        <v/>
      </c>
      <c r="E21" s="27">
        <f>SUMPRODUCT((MONTH('Saisie Factures'!A4:A224)=8)*(YEAR('Saisie Factures'!A4:A224)=B$3)*('Saisie Factures'!B4:B224="2ème quinzaine")*('Saisie Factures'!G4:G224="Gasoil")*('Saisie Factures'!J4:J224))</f>
        <v/>
      </c>
      <c r="F21" s="28">
        <f>IF(D21=0,"",E21/D21)</f>
        <v/>
      </c>
    </row>
    <row r="22">
      <c r="A22" s="40" t="inlineStr">
        <is>
          <t>Septembre</t>
        </is>
      </c>
      <c r="B22" s="41" t="inlineStr">
        <is>
          <t>1ère quinzaine</t>
        </is>
      </c>
      <c r="C22" s="41">
        <f>COUNTIFS('Saisie Factures'!A4:A224,"&gt;="&amp;DATE(B$3,9,1),'Saisie Factures'!A4:A224,"&lt;"&amp;DATE(B$3,9+1,1),'Saisie Factures'!B4:B224,"1ère quinzaine",'Saisie Factures'!G4:G224,"Gasoil")</f>
        <v/>
      </c>
      <c r="D22" s="42">
        <f>SUMPRODUCT((MONTH('Saisie Factures'!A4:A224)=9)*(YEAR('Saisie Factures'!A4:A224)=B$3)*('Saisie Factures'!B4:B224="1ère quinzaine")*('Saisie Factures'!G4:G224="Gasoil")*('Saisie Factures'!H4:H224))</f>
        <v/>
      </c>
      <c r="E22" s="43">
        <f>SUMPRODUCT((MONTH('Saisie Factures'!A4:A224)=9)*(YEAR('Saisie Factures'!A4:A224)=B$3)*('Saisie Factures'!B4:B224="1ère quinzaine")*('Saisie Factures'!G4:G224="Gasoil")*('Saisie Factures'!J4:J224))</f>
        <v/>
      </c>
      <c r="F22" s="44">
        <f>IF(D22=0,"",E22/D22)</f>
        <v/>
      </c>
    </row>
    <row r="23">
      <c r="A23" s="24" t="inlineStr">
        <is>
          <t>Septembre</t>
        </is>
      </c>
      <c r="B23" s="25" t="inlineStr">
        <is>
          <t>2ème quinzaine</t>
        </is>
      </c>
      <c r="C23" s="25">
        <f>COUNTIFS('Saisie Factures'!A4:A224,"&gt;="&amp;DATE(B$3,9,1),'Saisie Factures'!A4:A224,"&lt;"&amp;DATE(B$3,9+1,1),'Saisie Factures'!B4:B224,"2ème quinzaine",'Saisie Factures'!G4:G224,"Gasoil")</f>
        <v/>
      </c>
      <c r="D23" s="26">
        <f>SUMPRODUCT((MONTH('Saisie Factures'!A4:A224)=9)*(YEAR('Saisie Factures'!A4:A224)=B$3)*('Saisie Factures'!B4:B224="2ème quinzaine")*('Saisie Factures'!G4:G224="Gasoil")*('Saisie Factures'!H4:H224))</f>
        <v/>
      </c>
      <c r="E23" s="27">
        <f>SUMPRODUCT((MONTH('Saisie Factures'!A4:A224)=9)*(YEAR('Saisie Factures'!A4:A224)=B$3)*('Saisie Factures'!B4:B224="2ème quinzaine")*('Saisie Factures'!G4:G224="Gasoil")*('Saisie Factures'!J4:J224))</f>
        <v/>
      </c>
      <c r="F23" s="28">
        <f>IF(D23=0,"",E23/D23)</f>
        <v/>
      </c>
    </row>
    <row r="24">
      <c r="A24" s="40" t="inlineStr">
        <is>
          <t>Octobre</t>
        </is>
      </c>
      <c r="B24" s="41" t="inlineStr">
        <is>
          <t>1ère quinzaine</t>
        </is>
      </c>
      <c r="C24" s="41">
        <f>COUNTIFS('Saisie Factures'!A4:A224,"&gt;="&amp;DATE(B$3,10,1),'Saisie Factures'!A4:A224,"&lt;"&amp;DATE(B$3,10+1,1),'Saisie Factures'!B4:B224,"1ère quinzaine",'Saisie Factures'!G4:G224,"Gasoil")</f>
        <v/>
      </c>
      <c r="D24" s="42">
        <f>SUMPRODUCT((MONTH('Saisie Factures'!A4:A224)=10)*(YEAR('Saisie Factures'!A4:A224)=B$3)*('Saisie Factures'!B4:B224="1ère quinzaine")*('Saisie Factures'!G4:G224="Gasoil")*('Saisie Factures'!H4:H224))</f>
        <v/>
      </c>
      <c r="E24" s="43">
        <f>SUMPRODUCT((MONTH('Saisie Factures'!A4:A224)=10)*(YEAR('Saisie Factures'!A4:A224)=B$3)*('Saisie Factures'!B4:B224="1ère quinzaine")*('Saisie Factures'!G4:G224="Gasoil")*('Saisie Factures'!J4:J224))</f>
        <v/>
      </c>
      <c r="F24" s="44">
        <f>IF(D24=0,"",E24/D24)</f>
        <v/>
      </c>
    </row>
    <row r="25">
      <c r="A25" s="24" t="inlineStr">
        <is>
          <t>Octobre</t>
        </is>
      </c>
      <c r="B25" s="25" t="inlineStr">
        <is>
          <t>2ème quinzaine</t>
        </is>
      </c>
      <c r="C25" s="25">
        <f>COUNTIFS('Saisie Factures'!A4:A224,"&gt;="&amp;DATE(B$3,10,1),'Saisie Factures'!A4:A224,"&lt;"&amp;DATE(B$3,10+1,1),'Saisie Factures'!B4:B224,"2ème quinzaine",'Saisie Factures'!G4:G224,"Gasoil")</f>
        <v/>
      </c>
      <c r="D25" s="26">
        <f>SUMPRODUCT((MONTH('Saisie Factures'!A4:A224)=10)*(YEAR('Saisie Factures'!A4:A224)=B$3)*('Saisie Factures'!B4:B224="2ème quinzaine")*('Saisie Factures'!G4:G224="Gasoil")*('Saisie Factures'!H4:H224))</f>
        <v/>
      </c>
      <c r="E25" s="27">
        <f>SUMPRODUCT((MONTH('Saisie Factures'!A4:A224)=10)*(YEAR('Saisie Factures'!A4:A224)=B$3)*('Saisie Factures'!B4:B224="2ème quinzaine")*('Saisie Factures'!G4:G224="Gasoil")*('Saisie Factures'!J4:J224))</f>
        <v/>
      </c>
      <c r="F25" s="28">
        <f>IF(D25=0,"",E25/D25)</f>
        <v/>
      </c>
    </row>
    <row r="26">
      <c r="A26" s="40" t="inlineStr">
        <is>
          <t>Novembre</t>
        </is>
      </c>
      <c r="B26" s="41" t="inlineStr">
        <is>
          <t>1ère quinzaine</t>
        </is>
      </c>
      <c r="C26" s="41">
        <f>COUNTIFS('Saisie Factures'!A4:A224,"&gt;="&amp;DATE(B$3,11,1),'Saisie Factures'!A4:A224,"&lt;"&amp;DATE(B$3,11+1,1),'Saisie Factures'!B4:B224,"1ère quinzaine",'Saisie Factures'!G4:G224,"Gasoil")</f>
        <v/>
      </c>
      <c r="D26" s="42">
        <f>SUMPRODUCT((MONTH('Saisie Factures'!A4:A224)=11)*(YEAR('Saisie Factures'!A4:A224)=B$3)*('Saisie Factures'!B4:B224="1ère quinzaine")*('Saisie Factures'!G4:G224="Gasoil")*('Saisie Factures'!H4:H224))</f>
        <v/>
      </c>
      <c r="E26" s="43">
        <f>SUMPRODUCT((MONTH('Saisie Factures'!A4:A224)=11)*(YEAR('Saisie Factures'!A4:A224)=B$3)*('Saisie Factures'!B4:B224="1ère quinzaine")*('Saisie Factures'!G4:G224="Gasoil")*('Saisie Factures'!J4:J224))</f>
        <v/>
      </c>
      <c r="F26" s="44">
        <f>IF(D26=0,"",E26/D26)</f>
        <v/>
      </c>
    </row>
    <row r="27">
      <c r="A27" s="24" t="inlineStr">
        <is>
          <t>Novembre</t>
        </is>
      </c>
      <c r="B27" s="25" t="inlineStr">
        <is>
          <t>2ème quinzaine</t>
        </is>
      </c>
      <c r="C27" s="25">
        <f>COUNTIFS('Saisie Factures'!A4:A224,"&gt;="&amp;DATE(B$3,11,1),'Saisie Factures'!A4:A224,"&lt;"&amp;DATE(B$3,11+1,1),'Saisie Factures'!B4:B224,"2ème quinzaine",'Saisie Factures'!G4:G224,"Gasoil")</f>
        <v/>
      </c>
      <c r="D27" s="26">
        <f>SUMPRODUCT((MONTH('Saisie Factures'!A4:A224)=11)*(YEAR('Saisie Factures'!A4:A224)=B$3)*('Saisie Factures'!B4:B224="2ème quinzaine")*('Saisie Factures'!G4:G224="Gasoil")*('Saisie Factures'!H4:H224))</f>
        <v/>
      </c>
      <c r="E27" s="27">
        <f>SUMPRODUCT((MONTH('Saisie Factures'!A4:A224)=11)*(YEAR('Saisie Factures'!A4:A224)=B$3)*('Saisie Factures'!B4:B224="2ème quinzaine")*('Saisie Factures'!G4:G224="Gasoil")*('Saisie Factures'!J4:J224))</f>
        <v/>
      </c>
      <c r="F27" s="28">
        <f>IF(D27=0,"",E27/D27)</f>
        <v/>
      </c>
    </row>
    <row r="28">
      <c r="A28" s="40" t="inlineStr">
        <is>
          <t>Décembre</t>
        </is>
      </c>
      <c r="B28" s="41" t="inlineStr">
        <is>
          <t>1ère quinzaine</t>
        </is>
      </c>
      <c r="C28" s="41">
        <f>COUNTIFS('Saisie Factures'!A4:A224,"&gt;="&amp;DATE(B$3,12,1),'Saisie Factures'!A4:A224,"&lt;"&amp;DATE(B$3,12+1,1),'Saisie Factures'!B4:B224,"1ère quinzaine",'Saisie Factures'!G4:G224,"Gasoil")</f>
        <v/>
      </c>
      <c r="D28" s="42">
        <f>SUMPRODUCT((MONTH('Saisie Factures'!A4:A224)=12)*(YEAR('Saisie Factures'!A4:A224)=B$3)*('Saisie Factures'!B4:B224="1ère quinzaine")*('Saisie Factures'!G4:G224="Gasoil")*('Saisie Factures'!H4:H224))</f>
        <v/>
      </c>
      <c r="E28" s="43">
        <f>SUMPRODUCT((MONTH('Saisie Factures'!A4:A224)=12)*(YEAR('Saisie Factures'!A4:A224)=B$3)*('Saisie Factures'!B4:B224="1ère quinzaine")*('Saisie Factures'!G4:G224="Gasoil")*('Saisie Factures'!J4:J224))</f>
        <v/>
      </c>
      <c r="F28" s="44">
        <f>IF(D28=0,"",E28/D28)</f>
        <v/>
      </c>
    </row>
    <row r="29">
      <c r="A29" s="24" t="inlineStr">
        <is>
          <t>Décembre</t>
        </is>
      </c>
      <c r="B29" s="25" t="inlineStr">
        <is>
          <t>2ème quinzaine</t>
        </is>
      </c>
      <c r="C29" s="25">
        <f>COUNTIFS('Saisie Factures'!A4:A224,"&gt;="&amp;DATE(B$3,12,1),'Saisie Factures'!A4:A224,"&lt;"&amp;DATE(B$3,12+1,1),'Saisie Factures'!B4:B224,"2ème quinzaine",'Saisie Factures'!G4:G224,"Gasoil")</f>
        <v/>
      </c>
      <c r="D29" s="26">
        <f>SUMPRODUCT((MONTH('Saisie Factures'!A4:A224)=12)*(YEAR('Saisie Factures'!A4:A224)=B$3)*('Saisie Factures'!B4:B224="2ème quinzaine")*('Saisie Factures'!G4:G224="Gasoil")*('Saisie Factures'!H4:H224))</f>
        <v/>
      </c>
      <c r="E29" s="27">
        <f>SUMPRODUCT((MONTH('Saisie Factures'!A4:A224)=12)*(YEAR('Saisie Factures'!A4:A224)=B$3)*('Saisie Factures'!B4:B224="2ème quinzaine")*('Saisie Factures'!G4:G224="Gasoil")*('Saisie Factures'!J4:J224))</f>
        <v/>
      </c>
      <c r="F29" s="28">
        <f>IF(D29=0,"",E29/D29)</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2026-03-30T17:12:45Z</dcterms:created>
  <dcterms:modified xsi:type="dcterms:W3CDTF">2026-03-30T17:12:45Z</dcterms:modified>
</cp:coreProperties>
</file>